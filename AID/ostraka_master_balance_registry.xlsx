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TOC" sheetId="1" state="visible" r:id="rId1"/>
    <sheet xmlns:r="http://schemas.openxmlformats.org/officeDocument/2006/relationships" name="Gear &amp; Loadout Calculator" sheetId="2" state="visible" r:id="rId2"/>
    <sheet xmlns:r="http://schemas.openxmlformats.org/officeDocument/2006/relationships" name="72-Skill Matrix" sheetId="3" state="visible" r:id="rId3"/>
    <sheet xmlns:r="http://schemas.openxmlformats.org/officeDocument/2006/relationships" name="24 Mundane Tracks" sheetId="4" state="visible" r:id="rId4"/>
    <sheet xmlns:r="http://schemas.openxmlformats.org/officeDocument/2006/relationships" name="24 Power &amp; Null Tra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i val="1"/>
      <color rgb="007F7F7F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002060"/>
      <sz val="11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0" pivotButton="0" quotePrefix="0" xfId="0"/>
    <xf numFmtId="0" fontId="0" fillId="5" borderId="0" pivotButton="0" quotePrefix="0" xfId="0"/>
    <xf numFmtId="164" fontId="4" fillId="3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17" customWidth="1" min="5" max="5"/>
  </cols>
  <sheetData>
    <row r="1"/>
    <row r="2">
      <c r="B2" s="1" t="inlineStr">
        <is>
          <t>Ostraka TTRPG Master Balance Registry</t>
        </is>
      </c>
    </row>
    <row r="3">
      <c r="B3" s="2" t="inlineStr">
        <is>
          <t>System Balance, Gear Loadout Taxes, 72-Skill Matrix &amp; 48 Ability Tracks</t>
        </is>
      </c>
    </row>
    <row r="4">
      <c r="B4" s="3" t="inlineStr">
        <is>
          <t>Version 1.0 | Generated for Autonomous Engine Execution</t>
        </is>
      </c>
    </row>
    <row r="5"/>
    <row r="6">
      <c r="B6" s="4" t="inlineStr">
        <is>
          <t>COLOR CONVENTION LEGEND</t>
        </is>
      </c>
    </row>
    <row r="7">
      <c r="B7" s="5" t="inlineStr">
        <is>
          <t>Blue Cell Fill (#DCE6F1)</t>
        </is>
      </c>
      <c r="C7" s="6" t="inlineStr">
        <is>
          <t>Editable Input / Configuration Parameter</t>
        </is>
      </c>
    </row>
    <row r="8">
      <c r="B8" s="7" t="inlineStr">
        <is>
          <t>Green Cell Fill (#E2EFDA)</t>
        </is>
      </c>
      <c r="C8" s="6" t="inlineStr">
        <is>
          <t>Computed / Derived Output Formula</t>
        </is>
      </c>
    </row>
    <row r="9">
      <c r="B9" s="8" t="inlineStr">
        <is>
          <t>Navy Header (#2F5496)</t>
        </is>
      </c>
      <c r="C9" s="6" t="inlineStr">
        <is>
          <t>Table Header / Primary Category</t>
        </is>
      </c>
    </row>
    <row r="10">
      <c r="B10" s="9" t="inlineStr">
        <is>
          <t>Medium Blue (#4472C4)</t>
        </is>
      </c>
      <c r="C10" s="6" t="inlineStr">
        <is>
          <t>Section Divider / Sub-Category Header</t>
        </is>
      </c>
    </row>
    <row r="11"/>
    <row r="12">
      <c r="B12" s="4" t="inlineStr">
        <is>
          <t>TABLE OF CONTENTS</t>
        </is>
      </c>
    </row>
    <row r="13">
      <c r="B13" s="8" t="inlineStr">
        <is>
          <t>Tab Name</t>
        </is>
      </c>
      <c r="C13" s="8" t="inlineStr">
        <is>
          <t>Description</t>
        </is>
      </c>
      <c r="D13" s="8" t="inlineStr">
        <is>
          <t>Contents Summary</t>
        </is>
      </c>
      <c r="E13" s="8" t="inlineStr">
        <is>
          <t>Link</t>
        </is>
      </c>
    </row>
    <row r="14">
      <c r="B14" s="6" t="inlineStr">
        <is>
          <t>Gear &amp; Loadout Calculator</t>
        </is>
      </c>
      <c r="C14" s="6" t="inlineStr">
        <is>
          <t>Complete catalog of 30 weapons &amp; armors with Stamina/Focus loadout taxes and active regen tier calculator.</t>
        </is>
      </c>
      <c r="D14" s="6" t="inlineStr">
        <is>
          <t>30 Gear Items, Loadout Tax Formulas, Burden Tiers</t>
        </is>
      </c>
      <c r="E14" s="10">
        <f>HYPERLINK("# 'Gear &amp; Loadout Calculator'!A1", "Go to Tab →")</f>
        <v/>
      </c>
    </row>
    <row r="15">
      <c r="B15" s="6" t="inlineStr">
        <is>
          <t>72-Skill Matrix</t>
        </is>
      </c>
      <c r="C15" s="6" t="inlineStr">
        <is>
          <t>Comprehensive mapping of 36 non-combat and 36 combat skills across all 12 attributes.</t>
        </is>
      </c>
      <c r="D15" s="6" t="inlineStr">
        <is>
          <t>12 Stats, Social/Utility/Lore Skills, Armor/Melee/Ranged Skills</t>
        </is>
      </c>
      <c r="E15" s="10">
        <f>HYPERLINK("# '72-Skill Matrix'!A1", "Go to Tab →")</f>
        <v/>
      </c>
    </row>
    <row r="16">
      <c r="B16" s="6" t="inlineStr">
        <is>
          <t>24 Mundane Tracks</t>
        </is>
      </c>
      <c r="C16" s="6" t="inlineStr">
        <is>
          <t>Offensive and defensive martial progression tracks with 4 mastery ranks and active stamina maneuvers.</t>
        </is>
      </c>
      <c r="D16" s="6" t="inlineStr">
        <is>
          <t>12 Offense Tracks, 12 Defense Tracks, Rank 1-4 Perks</t>
        </is>
      </c>
      <c r="E16" s="10">
        <f>HYPERLINK("# '24 Mundane Tracks'!A1", "Go to Tab →")</f>
        <v/>
      </c>
    </row>
    <row r="17">
      <c r="B17" s="6" t="inlineStr">
        <is>
          <t>24 Power &amp; Null Tracks</t>
        </is>
      </c>
      <c r="C17" s="6" t="inlineStr">
        <is>
          <t>12 Sparkborn Magic schools and 12 Null Discipline physics-inversion tracks with elemental damage types.</t>
        </is>
      </c>
      <c r="D17" s="6" t="inlineStr">
        <is>
          <t>12 Elemental Schools, 12 Null Disciplines, Range &amp; AoE</t>
        </is>
      </c>
      <c r="E17" s="10">
        <f>HYPERLINK("# '24 Power &amp; Null Tracks'!A1", "Go to Tab →")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7" customWidth="1" min="3" max="3"/>
    <col width="25" customWidth="1" min="4" max="4"/>
    <col width="29" customWidth="1" min="5" max="5"/>
    <col width="17" customWidth="1" min="6" max="6"/>
    <col width="12" customWidth="1" min="7" max="7"/>
    <col width="45" customWidth="1" min="8" max="8"/>
  </cols>
  <sheetData>
    <row r="1"/>
    <row r="2">
      <c r="B2" s="1" t="inlineStr">
        <is>
          <t>30-Piece Master Gear Catalog &amp; Loadout Calculator</t>
        </is>
      </c>
    </row>
    <row r="3">
      <c r="B3" s="2" t="inlineStr">
        <is>
          <t>Loadout taxes reserve capacity from Stamina &amp; Focus pools. High burden (&gt;50%, &gt;75%) degrades turn regeneration.</t>
        </is>
      </c>
    </row>
    <row r="4"/>
    <row r="5">
      <c r="B5" s="11" t="inlineStr">
        <is>
          <t>INTERACTIVE CHARACTER LOADOUT CALCULATOR</t>
        </is>
      </c>
      <c r="C5" s="12" t="n"/>
      <c r="D5" s="12" t="n"/>
      <c r="E5" s="12" t="n"/>
      <c r="F5" s="12" t="n"/>
      <c r="G5" s="12" t="n"/>
    </row>
    <row r="6">
      <c r="B6" s="4" t="inlineStr">
        <is>
          <t>Base Stamina Capacity</t>
        </is>
      </c>
      <c r="C6" s="5" t="n">
        <v>20</v>
      </c>
      <c r="E6" s="4" t="inlineStr">
        <is>
          <t>Total Stamina Tax Reserved</t>
        </is>
      </c>
      <c r="F6" s="7">
        <f>C16+C24+C40</f>
        <v/>
      </c>
    </row>
    <row r="7">
      <c r="B7" s="4" t="inlineStr">
        <is>
          <t>Base Focus Capacity</t>
        </is>
      </c>
      <c r="C7" s="5" t="n">
        <v>20</v>
      </c>
      <c r="E7" s="4" t="inlineStr">
        <is>
          <t>Total Focus Tax Reserved</t>
        </is>
      </c>
      <c r="F7" s="7">
        <f>D32+D48</f>
        <v/>
      </c>
    </row>
    <row r="8">
      <c r="E8" s="4" t="inlineStr">
        <is>
          <t>Stamina Burden %</t>
        </is>
      </c>
      <c r="F8" s="13">
        <f>F6/C6</f>
        <v/>
      </c>
    </row>
    <row r="9">
      <c r="E9" s="4" t="inlineStr">
        <is>
          <t>Focus Burden %</t>
        </is>
      </c>
      <c r="F9" s="13">
        <f>F7/C7</f>
        <v/>
      </c>
    </row>
    <row r="10">
      <c r="E10" s="4" t="inlineStr">
        <is>
          <t>Stamina Regen Tier</t>
        </is>
      </c>
      <c r="F10" s="7">
        <f>IF(F8&lt;0.5, "Full Regen (+2/turn)", IF(F8&lt;0.75, "Encumbered (+1/turn)", "Extreme Drag (Cap 5, +1/2 turns)"))</f>
        <v/>
      </c>
    </row>
    <row r="11"/>
    <row r="12"/>
    <row r="13">
      <c r="B13" s="11" t="inlineStr">
        <is>
          <t>1. MELEE WEAPONS (STAMINA TAX)</t>
        </is>
      </c>
      <c r="C13" s="12" t="n"/>
      <c r="D13" s="12" t="n"/>
      <c r="E13" s="12" t="n"/>
      <c r="F13" s="12" t="n"/>
      <c r="G13" s="12" t="n"/>
      <c r="H13" s="12" t="n"/>
    </row>
    <row r="14">
      <c r="B14" s="8" t="inlineStr">
        <is>
          <t>Item Name</t>
        </is>
      </c>
      <c r="C14" s="8" t="inlineStr">
        <is>
          <t>Category</t>
        </is>
      </c>
      <c r="D14" s="8" t="inlineStr">
        <is>
          <t>Governing Attribute(s)</t>
        </is>
      </c>
      <c r="E14" s="8" t="inlineStr">
        <is>
          <t>Roll Modifier</t>
        </is>
      </c>
      <c r="F14" s="8" t="inlineStr">
        <is>
          <t>Stamina Tax</t>
        </is>
      </c>
      <c r="G14" s="8" t="inlineStr">
        <is>
          <t>Focus Tax</t>
        </is>
      </c>
      <c r="H14" s="8" t="inlineStr">
        <is>
          <t>Special Effect / Drag Tag</t>
        </is>
      </c>
    </row>
    <row r="15">
      <c r="B15" s="14" t="inlineStr">
        <is>
          <t>Executioner Greatsword</t>
        </is>
      </c>
      <c r="C15" s="14" t="inlineStr">
        <is>
          <t>Melee Weapon</t>
        </is>
      </c>
      <c r="D15" s="14" t="inlineStr">
        <is>
          <t>Might &amp; Endurance</t>
        </is>
      </c>
      <c r="E15" s="15" t="inlineStr">
        <is>
          <t>+3 Attack Mod</t>
        </is>
      </c>
      <c r="F15" s="15" t="n">
        <v>15</v>
      </c>
      <c r="G15" s="15" t="n">
        <v>0</v>
      </c>
      <c r="H15" s="14" t="inlineStr">
        <is>
          <t>Heavy Drag (High Shield-Shatter)</t>
        </is>
      </c>
    </row>
    <row r="16">
      <c r="B16" s="16" t="inlineStr">
        <is>
          <t>Duelling Rapier</t>
        </is>
      </c>
      <c r="C16" s="16" t="inlineStr">
        <is>
          <t>Melee Weapon</t>
        </is>
      </c>
      <c r="D16" s="16" t="inlineStr">
        <is>
          <t>Finesse &amp; Reflex</t>
        </is>
      </c>
      <c r="E16" s="17" t="inlineStr">
        <is>
          <t>+2 Attack Mod</t>
        </is>
      </c>
      <c r="F16" s="17" t="n">
        <v>8</v>
      </c>
      <c r="G16" s="17" t="n">
        <v>0</v>
      </c>
      <c r="H16" s="16" t="inlineStr">
        <is>
          <t>Light Drag (Precision Parrying)</t>
        </is>
      </c>
    </row>
    <row r="17">
      <c r="B17" s="14" t="inlineStr">
        <is>
          <t>Crushing Warhammer</t>
        </is>
      </c>
      <c r="C17" s="14" t="inlineStr">
        <is>
          <t>Melee Weapon</t>
        </is>
      </c>
      <c r="D17" s="14" t="inlineStr">
        <is>
          <t>Might &amp; Fortitude</t>
        </is>
      </c>
      <c r="E17" s="15" t="inlineStr">
        <is>
          <t>+3 Attack Mod</t>
        </is>
      </c>
      <c r="F17" s="15" t="n">
        <v>14</v>
      </c>
      <c r="G17" s="15" t="n">
        <v>0</v>
      </c>
      <c r="H17" s="14" t="inlineStr">
        <is>
          <t>Medium Drag (Armor Crushing)</t>
        </is>
      </c>
    </row>
    <row r="18">
      <c r="B18" s="16" t="inlineStr">
        <is>
          <t>Balanced Bo Staff</t>
        </is>
      </c>
      <c r="C18" s="16" t="inlineStr">
        <is>
          <t>Melee Weapon</t>
        </is>
      </c>
      <c r="D18" s="16" t="inlineStr">
        <is>
          <t>Reflex &amp; Finesse</t>
        </is>
      </c>
      <c r="E18" s="17" t="inlineStr">
        <is>
          <t>+2 Attack Mod</t>
        </is>
      </c>
      <c r="F18" s="17" t="n">
        <v>7</v>
      </c>
      <c r="G18" s="17" t="n">
        <v>0</v>
      </c>
      <c r="H18" s="16" t="inlineStr">
        <is>
          <t>Light Drag (Sweeping Trip)</t>
        </is>
      </c>
    </row>
    <row r="19">
      <c r="B19" s="14" t="inlineStr">
        <is>
          <t>Spiked Cestus</t>
        </is>
      </c>
      <c r="C19" s="14" t="inlineStr">
        <is>
          <t>Melee Weapon</t>
        </is>
      </c>
      <c r="D19" s="14" t="inlineStr">
        <is>
          <t>Vitality &amp; Might</t>
        </is>
      </c>
      <c r="E19" s="15" t="inlineStr">
        <is>
          <t>+2 Attack Mod</t>
        </is>
      </c>
      <c r="F19" s="15" t="n">
        <v>10</v>
      </c>
      <c r="G19" s="15" t="n">
        <v>0</v>
      </c>
      <c r="H19" s="14" t="inlineStr">
        <is>
          <t>Medium Drag (Close Grapple)</t>
        </is>
      </c>
    </row>
    <row r="20">
      <c r="B20" s="16" t="inlineStr">
        <is>
          <t>Pike-Halberd</t>
        </is>
      </c>
      <c r="C20" s="16" t="inlineStr">
        <is>
          <t>Melee Weapon</t>
        </is>
      </c>
      <c r="D20" s="16" t="inlineStr">
        <is>
          <t>Endurance &amp; Fortitude</t>
        </is>
      </c>
      <c r="E20" s="17" t="inlineStr">
        <is>
          <t>+3 Attack Mod</t>
        </is>
      </c>
      <c r="F20" s="17" t="n">
        <v>16</v>
      </c>
      <c r="G20" s="17" t="n">
        <v>0</v>
      </c>
      <c r="H20" s="16" t="inlineStr">
        <is>
          <t>Heavy Drag (Reach &amp; Set vs Charge)</t>
        </is>
      </c>
    </row>
    <row r="21"/>
    <row r="22">
      <c r="B22" s="11" t="inlineStr">
        <is>
          <t>2. RANGED WEAPONS (STAMINA TAX)</t>
        </is>
      </c>
      <c r="C22" s="12" t="n"/>
      <c r="D22" s="12" t="n"/>
      <c r="E22" s="12" t="n"/>
      <c r="F22" s="12" t="n"/>
      <c r="G22" s="12" t="n"/>
      <c r="H22" s="12" t="n"/>
    </row>
    <row r="23">
      <c r="B23" s="8" t="inlineStr">
        <is>
          <t>Item Name</t>
        </is>
      </c>
      <c r="C23" s="8" t="inlineStr">
        <is>
          <t>Category</t>
        </is>
      </c>
      <c r="D23" s="8" t="inlineStr">
        <is>
          <t>Governing Attribute(s)</t>
        </is>
      </c>
      <c r="E23" s="8" t="inlineStr">
        <is>
          <t>Roll Modifier</t>
        </is>
      </c>
      <c r="F23" s="8" t="inlineStr">
        <is>
          <t>Stamina Tax</t>
        </is>
      </c>
      <c r="G23" s="8" t="inlineStr">
        <is>
          <t>Focus Tax</t>
        </is>
      </c>
      <c r="H23" s="8" t="inlineStr">
        <is>
          <t>Special Effect / Drag Tag</t>
        </is>
      </c>
    </row>
    <row r="24">
      <c r="B24" s="16" t="inlineStr">
        <is>
          <t>Composite Warbow</t>
        </is>
      </c>
      <c r="C24" s="16" t="inlineStr">
        <is>
          <t>Ranged Weapon</t>
        </is>
      </c>
      <c r="D24" s="16" t="inlineStr">
        <is>
          <t>Finesse &amp; Awareness</t>
        </is>
      </c>
      <c r="E24" s="17" t="inlineStr">
        <is>
          <t>+3 Attack Mod</t>
        </is>
      </c>
      <c r="F24" s="17" t="n">
        <v>12</v>
      </c>
      <c r="G24" s="17" t="n">
        <v>0</v>
      </c>
      <c r="H24" s="16" t="inlineStr">
        <is>
          <t>Long Range Pinpoint</t>
        </is>
      </c>
    </row>
    <row r="25">
      <c r="B25" s="14" t="inlineStr">
        <is>
          <t>Windlass Arbalest</t>
        </is>
      </c>
      <c r="C25" s="14" t="inlineStr">
        <is>
          <t>Ranged Weapon</t>
        </is>
      </c>
      <c r="D25" s="14" t="inlineStr">
        <is>
          <t>Might &amp; Logic</t>
        </is>
      </c>
      <c r="E25" s="15" t="inlineStr">
        <is>
          <t>+3 Attack Mod</t>
        </is>
      </c>
      <c r="F25" s="15" t="n">
        <v>14</v>
      </c>
      <c r="G25" s="15" t="n">
        <v>0</v>
      </c>
      <c r="H25" s="14" t="inlineStr">
        <is>
          <t>Heavy Bolt Penetration</t>
        </is>
      </c>
    </row>
    <row r="26">
      <c r="B26" s="16" t="inlineStr">
        <is>
          <t>Precision Chakram</t>
        </is>
      </c>
      <c r="C26" s="16" t="inlineStr">
        <is>
          <t>Ranged Weapon</t>
        </is>
      </c>
      <c r="D26" s="16" t="inlineStr">
        <is>
          <t>Reflex &amp; Intuition</t>
        </is>
      </c>
      <c r="E26" s="17" t="inlineStr">
        <is>
          <t>+2 Attack Mod</t>
        </is>
      </c>
      <c r="F26" s="17" t="n">
        <v>9</v>
      </c>
      <c r="G26" s="17" t="n">
        <v>0</v>
      </c>
      <c r="H26" s="16" t="inlineStr">
        <is>
          <t>Ricochet Bounce</t>
        </is>
      </c>
    </row>
    <row r="27">
      <c r="B27" s="14" t="inlineStr">
        <is>
          <t>Calculated Sling-Staff</t>
        </is>
      </c>
      <c r="C27" s="14" t="inlineStr">
        <is>
          <t>Ranged Weapon</t>
        </is>
      </c>
      <c r="D27" s="14" t="inlineStr">
        <is>
          <t>Endurance &amp; Knowledge</t>
        </is>
      </c>
      <c r="E27" s="15" t="inlineStr">
        <is>
          <t>+2 Attack Mod</t>
        </is>
      </c>
      <c r="F27" s="15" t="n">
        <v>8</v>
      </c>
      <c r="G27" s="15" t="n">
        <v>0</v>
      </c>
      <c r="H27" s="14" t="inlineStr">
        <is>
          <t>Arcing Lob Over Cover</t>
        </is>
      </c>
    </row>
    <row r="28">
      <c r="B28" s="16" t="inlineStr">
        <is>
          <t>Venom Blowgun</t>
        </is>
      </c>
      <c r="C28" s="16" t="inlineStr">
        <is>
          <t>Ranged Weapon</t>
        </is>
      </c>
      <c r="D28" s="16" t="inlineStr">
        <is>
          <t>Finesse &amp; Willpower</t>
        </is>
      </c>
      <c r="E28" s="17" t="inlineStr">
        <is>
          <t>+2 Attack Mod</t>
        </is>
      </c>
      <c r="F28" s="17" t="n">
        <v>7</v>
      </c>
      <c r="G28" s="17" t="n">
        <v>0</v>
      </c>
      <c r="H28" s="16" t="inlineStr">
        <is>
          <t>Silent Toxin Delivery</t>
        </is>
      </c>
    </row>
    <row r="29">
      <c r="B29" s="14" t="inlineStr">
        <is>
          <t>Commanding Javelin</t>
        </is>
      </c>
      <c r="C29" s="14" t="inlineStr">
        <is>
          <t>Ranged Weapon</t>
        </is>
      </c>
      <c r="D29" s="14" t="inlineStr">
        <is>
          <t>Might &amp; Charm</t>
        </is>
      </c>
      <c r="E29" s="15" t="inlineStr">
        <is>
          <t>+3 Attack Mod</t>
        </is>
      </c>
      <c r="F29" s="15" t="n">
        <v>11</v>
      </c>
      <c r="G29" s="15" t="n">
        <v>0</v>
      </c>
      <c r="H29" s="14" t="inlineStr">
        <is>
          <t>Impalement Stagger</t>
        </is>
      </c>
    </row>
    <row r="30"/>
    <row r="31">
      <c r="B31" s="11" t="inlineStr">
        <is>
          <t>3. SOCIAL WEAPONS (FOCUS TAX)</t>
        </is>
      </c>
      <c r="C31" s="12" t="n"/>
      <c r="D31" s="12" t="n"/>
      <c r="E31" s="12" t="n"/>
      <c r="F31" s="12" t="n"/>
      <c r="G31" s="12" t="n"/>
      <c r="H31" s="12" t="n"/>
    </row>
    <row r="32">
      <c r="B32" s="8" t="inlineStr">
        <is>
          <t>Item Name</t>
        </is>
      </c>
      <c r="C32" s="8" t="inlineStr">
        <is>
          <t>Category</t>
        </is>
      </c>
      <c r="D32" s="8" t="inlineStr">
        <is>
          <t>Governing Attribute(s)</t>
        </is>
      </c>
      <c r="E32" s="8" t="inlineStr">
        <is>
          <t>Roll Modifier</t>
        </is>
      </c>
      <c r="F32" s="8" t="inlineStr">
        <is>
          <t>Stamina Tax</t>
        </is>
      </c>
      <c r="G32" s="8" t="inlineStr">
        <is>
          <t>Focus Tax</t>
        </is>
      </c>
      <c r="H32" s="8" t="inlineStr">
        <is>
          <t>Special Effect / Drag Tag</t>
        </is>
      </c>
    </row>
    <row r="33">
      <c r="B33" s="14" t="inlineStr">
        <is>
          <t>Socratic Dissection</t>
        </is>
      </c>
      <c r="C33" s="14" t="inlineStr">
        <is>
          <t>Social Weapon</t>
        </is>
      </c>
      <c r="D33" s="14" t="inlineStr">
        <is>
          <t>Logic &amp; Knowledge</t>
        </is>
      </c>
      <c r="E33" s="15" t="inlineStr">
        <is>
          <t>+3 Social Mod</t>
        </is>
      </c>
      <c r="F33" s="15" t="n">
        <v>0</v>
      </c>
      <c r="G33" s="15" t="n">
        <v>10</v>
      </c>
      <c r="H33" s="14" t="inlineStr">
        <is>
          <t>Demolishes Flawed Rhetoric</t>
        </is>
      </c>
    </row>
    <row r="34">
      <c r="B34" s="16" t="inlineStr">
        <is>
          <t>Pathos Oration</t>
        </is>
      </c>
      <c r="C34" s="16" t="inlineStr">
        <is>
          <t>Social Weapon</t>
        </is>
      </c>
      <c r="D34" s="16" t="inlineStr">
        <is>
          <t>Charm &amp; Intuition</t>
        </is>
      </c>
      <c r="E34" s="17" t="inlineStr">
        <is>
          <t>+3 Social Mod</t>
        </is>
      </c>
      <c r="F34" s="17" t="n">
        <v>0</v>
      </c>
      <c r="G34" s="17" t="n">
        <v>10</v>
      </c>
      <c r="H34" s="16" t="inlineStr">
        <is>
          <t>Rallies Morale / Inspires Crowd</t>
        </is>
      </c>
    </row>
    <row r="35">
      <c r="B35" s="14" t="inlineStr">
        <is>
          <t>Overbearing Will</t>
        </is>
      </c>
      <c r="C35" s="14" t="inlineStr">
        <is>
          <t>Social Weapon</t>
        </is>
      </c>
      <c r="D35" s="14" t="inlineStr">
        <is>
          <t>Willpower &amp; Awareness</t>
        </is>
      </c>
      <c r="E35" s="15" t="inlineStr">
        <is>
          <t>+3 Social Mod</t>
        </is>
      </c>
      <c r="F35" s="15" t="n">
        <v>0</v>
      </c>
      <c r="G35" s="15" t="n">
        <v>12</v>
      </c>
      <c r="H35" s="14" t="inlineStr">
        <is>
          <t>Forces Intimidation Concession</t>
        </is>
      </c>
    </row>
    <row r="36">
      <c r="B36" s="16" t="inlineStr">
        <is>
          <t>Subversive Whispers</t>
        </is>
      </c>
      <c r="C36" s="16" t="inlineStr">
        <is>
          <t>Social Weapon</t>
        </is>
      </c>
      <c r="D36" s="16" t="inlineStr">
        <is>
          <t>Awareness &amp; Logic</t>
        </is>
      </c>
      <c r="E36" s="17" t="inlineStr">
        <is>
          <t>+2 Social Mod</t>
        </is>
      </c>
      <c r="F36" s="17" t="n">
        <v>0</v>
      </c>
      <c r="G36" s="17" t="n">
        <v>8</v>
      </c>
      <c r="H36" s="16" t="inlineStr">
        <is>
          <t>Sows Internal Suspicion</t>
        </is>
      </c>
    </row>
    <row r="37">
      <c r="B37" s="14" t="inlineStr">
        <is>
          <t>Inquisitorial Dogma</t>
        </is>
      </c>
      <c r="C37" s="14" t="inlineStr">
        <is>
          <t>Social Weapon</t>
        </is>
      </c>
      <c r="D37" s="14" t="inlineStr">
        <is>
          <t>Knowledge &amp; Willpower</t>
        </is>
      </c>
      <c r="E37" s="15" t="inlineStr">
        <is>
          <t>+3 Social Mod</t>
        </is>
      </c>
      <c r="F37" s="15" t="n">
        <v>0</v>
      </c>
      <c r="G37" s="15" t="n">
        <v>13</v>
      </c>
      <c r="H37" s="14" t="inlineStr">
        <is>
          <t>Inflicts Ideological Break</t>
        </is>
      </c>
    </row>
    <row r="38">
      <c r="B38" s="16" t="inlineStr">
        <is>
          <t>Piercing Satire</t>
        </is>
      </c>
      <c r="C38" s="16" t="inlineStr">
        <is>
          <t>Social Weapon</t>
        </is>
      </c>
      <c r="D38" s="16" t="inlineStr">
        <is>
          <t>Intuition &amp; Charm</t>
        </is>
      </c>
      <c r="E38" s="17" t="inlineStr">
        <is>
          <t>+2 Social Mod</t>
        </is>
      </c>
      <c r="F38" s="17" t="n">
        <v>0</v>
      </c>
      <c r="G38" s="17" t="n">
        <v>8</v>
      </c>
      <c r="H38" s="16" t="inlineStr">
        <is>
          <t>Undermines Authority Figure</t>
        </is>
      </c>
    </row>
    <row r="39"/>
    <row r="40">
      <c r="B40" s="11" t="inlineStr">
        <is>
          <t>4. BODY ARMOR &amp; SHIELDS (STAMINA TAX)</t>
        </is>
      </c>
      <c r="C40" s="12" t="n"/>
      <c r="D40" s="12" t="n"/>
      <c r="E40" s="12" t="n"/>
      <c r="F40" s="12" t="n"/>
      <c r="G40" s="12" t="n"/>
      <c r="H40" s="12" t="n"/>
    </row>
    <row r="41">
      <c r="B41" s="8" t="inlineStr">
        <is>
          <t>Item Name</t>
        </is>
      </c>
      <c r="C41" s="8" t="inlineStr">
        <is>
          <t>Category</t>
        </is>
      </c>
      <c r="D41" s="8" t="inlineStr">
        <is>
          <t>Governing Attribute(s)</t>
        </is>
      </c>
      <c r="E41" s="8" t="inlineStr">
        <is>
          <t>Roll Modifier</t>
        </is>
      </c>
      <c r="F41" s="8" t="inlineStr">
        <is>
          <t>Stamina Tax</t>
        </is>
      </c>
      <c r="G41" s="8" t="inlineStr">
        <is>
          <t>Focus Tax</t>
        </is>
      </c>
      <c r="H41" s="8" t="inlineStr">
        <is>
          <t>Special Effect / Drag Tag</t>
        </is>
      </c>
    </row>
    <row r="42">
      <c r="B42" s="16" t="inlineStr">
        <is>
          <t>Gothic Full Plate</t>
        </is>
      </c>
      <c r="C42" s="16" t="inlineStr">
        <is>
          <t>Body Armor</t>
        </is>
      </c>
      <c r="D42" s="16" t="inlineStr">
        <is>
          <t>Fortitude &amp; Might</t>
        </is>
      </c>
      <c r="E42" s="17" t="inlineStr">
        <is>
          <t>+4 Defense Mod</t>
        </is>
      </c>
      <c r="F42" s="17" t="n">
        <v>20</v>
      </c>
      <c r="G42" s="17" t="n">
        <v>0</v>
      </c>
      <c r="H42" s="16" t="inlineStr">
        <is>
          <t>Heavy Penalty (Maximum Kinetic Protection)</t>
        </is>
      </c>
    </row>
    <row r="43">
      <c r="B43" s="14" t="inlineStr">
        <is>
          <t>Riveted Chainmail</t>
        </is>
      </c>
      <c r="C43" s="14" t="inlineStr">
        <is>
          <t>Body Armor</t>
        </is>
      </c>
      <c r="D43" s="14" t="inlineStr">
        <is>
          <t>Endurance &amp; Fortitude</t>
        </is>
      </c>
      <c r="E43" s="15" t="inlineStr">
        <is>
          <t>+3 Defense Mod</t>
        </is>
      </c>
      <c r="F43" s="15" t="n">
        <v>14</v>
      </c>
      <c r="G43" s="15" t="n">
        <v>0</v>
      </c>
      <c r="H43" s="14" t="inlineStr">
        <is>
          <t>Medium Weight Balance</t>
        </is>
      </c>
    </row>
    <row r="44">
      <c r="B44" s="16" t="inlineStr">
        <is>
          <t>Studded Leather Jerkin</t>
        </is>
      </c>
      <c r="C44" s="16" t="inlineStr">
        <is>
          <t>Body Armor</t>
        </is>
      </c>
      <c r="D44" s="16" t="inlineStr">
        <is>
          <t>Reflex &amp; Finesse</t>
        </is>
      </c>
      <c r="E44" s="17" t="inlineStr">
        <is>
          <t>+2 Defense Mod</t>
        </is>
      </c>
      <c r="F44" s="17" t="n">
        <v>8</v>
      </c>
      <c r="G44" s="17" t="n">
        <v>0</v>
      </c>
      <c r="H44" s="16" t="inlineStr">
        <is>
          <t>Lightweight Stealth Friendly</t>
        </is>
      </c>
    </row>
    <row r="45">
      <c r="B45" s="14" t="inlineStr">
        <is>
          <t>Bulwark Tower Shield</t>
        </is>
      </c>
      <c r="C45" s="14" t="inlineStr">
        <is>
          <t>Shield / Armor</t>
        </is>
      </c>
      <c r="D45" s="14" t="inlineStr">
        <is>
          <t>Fortitude &amp; Endurance</t>
        </is>
      </c>
      <c r="E45" s="15" t="inlineStr">
        <is>
          <t>+3 Defense Mod</t>
        </is>
      </c>
      <c r="F45" s="15" t="n">
        <v>16</v>
      </c>
      <c r="G45" s="15" t="n">
        <v>0</v>
      </c>
      <c r="H45" s="14" t="inlineStr">
        <is>
          <t>Directional Total Cover</t>
        </is>
      </c>
    </row>
    <row r="46">
      <c r="B46" s="16" t="inlineStr">
        <is>
          <t>Silk-Steel Lamellar</t>
        </is>
      </c>
      <c r="C46" s="16" t="inlineStr">
        <is>
          <t>Body Armor</t>
        </is>
      </c>
      <c r="D46" s="16" t="inlineStr">
        <is>
          <t>Finesse &amp; Reflex</t>
        </is>
      </c>
      <c r="E46" s="17" t="inlineStr">
        <is>
          <t>+2 Defense Mod</t>
        </is>
      </c>
      <c r="F46" s="17" t="n">
        <v>10</v>
      </c>
      <c r="G46" s="17" t="n">
        <v>0</v>
      </c>
      <c r="H46" s="16" t="inlineStr">
        <is>
          <t>Flexible Heat-Resistant Weave</t>
        </is>
      </c>
    </row>
    <row r="47">
      <c r="B47" s="14" t="inlineStr">
        <is>
          <t>Vitality Fortification Ward</t>
        </is>
      </c>
      <c r="C47" s="14" t="inlineStr">
        <is>
          <t>Body Armor</t>
        </is>
      </c>
      <c r="D47" s="14" t="inlineStr">
        <is>
          <t>Vitality &amp; Fortitude</t>
        </is>
      </c>
      <c r="E47" s="15" t="inlineStr">
        <is>
          <t>+2 Defense Mod</t>
        </is>
      </c>
      <c r="F47" s="15" t="n">
        <v>6</v>
      </c>
      <c r="G47" s="15" t="n">
        <v>0</v>
      </c>
      <c r="H47" s="14" t="inlineStr">
        <is>
          <t>Somatic Organic Cushioning</t>
        </is>
      </c>
    </row>
    <row r="48"/>
    <row r="49">
      <c r="B49" s="11" t="inlineStr">
        <is>
          <t>5. MIND ARMOR &amp; MENTAL BASTIONS (FOCUS TAX)</t>
        </is>
      </c>
      <c r="C49" s="12" t="n"/>
      <c r="D49" s="12" t="n"/>
      <c r="E49" s="12" t="n"/>
      <c r="F49" s="12" t="n"/>
      <c r="G49" s="12" t="n"/>
      <c r="H49" s="12" t="n"/>
    </row>
    <row r="50">
      <c r="B50" s="8" t="inlineStr">
        <is>
          <t>Item Name</t>
        </is>
      </c>
      <c r="C50" s="8" t="inlineStr">
        <is>
          <t>Category</t>
        </is>
      </c>
      <c r="D50" s="8" t="inlineStr">
        <is>
          <t>Governing Attribute(s)</t>
        </is>
      </c>
      <c r="E50" s="8" t="inlineStr">
        <is>
          <t>Roll Modifier</t>
        </is>
      </c>
      <c r="F50" s="8" t="inlineStr">
        <is>
          <t>Stamina Tax</t>
        </is>
      </c>
      <c r="G50" s="8" t="inlineStr">
        <is>
          <t>Focus Tax</t>
        </is>
      </c>
      <c r="H50" s="8" t="inlineStr">
        <is>
          <t>Special Effect / Drag Tag</t>
        </is>
      </c>
    </row>
    <row r="51">
      <c r="B51" s="14" t="inlineStr">
        <is>
          <t>Stoic Mental Bastion</t>
        </is>
      </c>
      <c r="C51" s="14" t="inlineStr">
        <is>
          <t>Mind Armor</t>
        </is>
      </c>
      <c r="D51" s="14" t="inlineStr">
        <is>
          <t>Willpower &amp; Logic</t>
        </is>
      </c>
      <c r="E51" s="15" t="inlineStr">
        <is>
          <t>+3 Mind Def</t>
        </is>
      </c>
      <c r="F51" s="15" t="n">
        <v>0</v>
      </c>
      <c r="G51" s="15" t="n">
        <v>12</v>
      </c>
      <c r="H51" s="14" t="inlineStr">
        <is>
          <t>Blocks Psychic Trauma</t>
        </is>
      </c>
    </row>
    <row r="52">
      <c r="B52" s="16" t="inlineStr">
        <is>
          <t>Cold Rational Firewall</t>
        </is>
      </c>
      <c r="C52" s="16" t="inlineStr">
        <is>
          <t>Mind Armor</t>
        </is>
      </c>
      <c r="D52" s="16" t="inlineStr">
        <is>
          <t>Logic &amp; Awareness</t>
        </is>
      </c>
      <c r="E52" s="17" t="inlineStr">
        <is>
          <t>+3 Mind Def</t>
        </is>
      </c>
      <c r="F52" s="17" t="n">
        <v>0</v>
      </c>
      <c r="G52" s="17" t="n">
        <v>10</v>
      </c>
      <c r="H52" s="16" t="inlineStr">
        <is>
          <t>Immunizes to Deceptive Fallacies</t>
        </is>
      </c>
    </row>
    <row r="53">
      <c r="B53" s="14" t="inlineStr">
        <is>
          <t>Charismatic Shield</t>
        </is>
      </c>
      <c r="C53" s="14" t="inlineStr">
        <is>
          <t>Mind Armor</t>
        </is>
      </c>
      <c r="D53" s="14" t="inlineStr">
        <is>
          <t>Charm &amp; Intuition</t>
        </is>
      </c>
      <c r="E53" s="15" t="inlineStr">
        <is>
          <t>+2 Mind Def</t>
        </is>
      </c>
      <c r="F53" s="15" t="n">
        <v>0</v>
      </c>
      <c r="G53" s="15" t="n">
        <v>8</v>
      </c>
      <c r="H53" s="14" t="inlineStr">
        <is>
          <t>Deflects Social Shaming</t>
        </is>
      </c>
    </row>
    <row r="54">
      <c r="B54" s="16" t="inlineStr">
        <is>
          <t>Aetheric Knowledge Ward</t>
        </is>
      </c>
      <c r="C54" s="16" t="inlineStr">
        <is>
          <t>Mind Armor</t>
        </is>
      </c>
      <c r="D54" s="16" t="inlineStr">
        <is>
          <t>Knowledge &amp; Willpower</t>
        </is>
      </c>
      <c r="E54" s="17" t="inlineStr">
        <is>
          <t>+3 Mind Def</t>
        </is>
      </c>
      <c r="F54" s="17" t="n">
        <v>0</v>
      </c>
      <c r="G54" s="17" t="n">
        <v>14</v>
      </c>
      <c r="H54" s="16" t="inlineStr">
        <is>
          <t>Absorbs Arcane / Void Spikes</t>
        </is>
      </c>
    </row>
    <row r="55">
      <c r="B55" s="14" t="inlineStr">
        <is>
          <t>Vigilant Awareness Circlet</t>
        </is>
      </c>
      <c r="C55" s="14" t="inlineStr">
        <is>
          <t>Mind Armor</t>
        </is>
      </c>
      <c r="D55" s="14" t="inlineStr">
        <is>
          <t>Awareness &amp; Charm</t>
        </is>
      </c>
      <c r="E55" s="15" t="inlineStr">
        <is>
          <t>+2 Mind Def</t>
        </is>
      </c>
      <c r="F55" s="15" t="n">
        <v>0</v>
      </c>
      <c r="G55" s="15" t="n">
        <v>8</v>
      </c>
      <c r="H55" s="14" t="inlineStr">
        <is>
          <t>Prevents Subliminal Infiltration</t>
        </is>
      </c>
    </row>
    <row r="56">
      <c r="B56" s="16" t="inlineStr">
        <is>
          <t>Empathic Grounding Crown</t>
        </is>
      </c>
      <c r="C56" s="16" t="inlineStr">
        <is>
          <t>Mind Armor</t>
        </is>
      </c>
      <c r="D56" s="16" t="inlineStr">
        <is>
          <t>Intuition &amp; Knowledge</t>
        </is>
      </c>
      <c r="E56" s="17" t="inlineStr">
        <is>
          <t>+2 Mind Def</t>
        </is>
      </c>
      <c r="F56" s="17" t="n">
        <v>0</v>
      </c>
      <c r="G56" s="17" t="n">
        <v>8</v>
      </c>
      <c r="H56" s="16" t="inlineStr">
        <is>
          <t>Dampens Emotional Manipulation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6" customWidth="1" min="4" max="4"/>
    <col width="21" customWidth="1" min="5" max="5"/>
    <col width="14" customWidth="1" min="6" max="6"/>
    <col width="20" customWidth="1" min="7" max="7"/>
    <col width="21" customWidth="1" min="8" max="8"/>
    <col width="29" customWidth="1" min="9" max="9"/>
    <col width="26" customWidth="1" min="10" max="10"/>
    <col width="25" customWidth="1" min="11" max="11"/>
    <col width="25" customWidth="1" min="12" max="12"/>
  </cols>
  <sheetData>
    <row r="1"/>
    <row r="2">
      <c r="B2" s="1" t="inlineStr">
        <is>
          <t>Master 72-Skill Architecture &amp; Attribute Bindings</t>
        </is>
      </c>
    </row>
    <row r="3">
      <c r="B3" s="2" t="inlineStr">
        <is>
          <t>36 Non-Combat Skills (Social, Utility, Lore) &amp; 36 Combat Skills (Armor, Melee, Ranged) tied to 12 Primordial Powers.</t>
        </is>
      </c>
    </row>
    <row r="4"/>
    <row r="5">
      <c r="B5" s="8" t="inlineStr">
        <is>
          <t>Attribute</t>
        </is>
      </c>
      <c r="C5" s="8" t="inlineStr">
        <is>
          <t>Primordial Power</t>
        </is>
      </c>
      <c r="D5" s="8" t="inlineStr">
        <is>
          <t>Sacred Dragon</t>
        </is>
      </c>
      <c r="E5" s="8" t="inlineStr">
        <is>
          <t>Conductive Element</t>
        </is>
      </c>
      <c r="F5" s="8" t="inlineStr">
        <is>
          <t>Damage Type</t>
        </is>
      </c>
      <c r="G5" s="8" t="inlineStr">
        <is>
          <t>Non-Combat Social</t>
        </is>
      </c>
      <c r="H5" s="8" t="inlineStr">
        <is>
          <t>Non-Combat Utility</t>
        </is>
      </c>
      <c r="I5" s="8" t="inlineStr">
        <is>
          <t>Non-Combat Lore</t>
        </is>
      </c>
      <c r="J5" s="8" t="inlineStr">
        <is>
          <t>Combat Armor (Def)</t>
        </is>
      </c>
      <c r="K5" s="8" t="inlineStr">
        <is>
          <t>Combat Melee (Off)</t>
        </is>
      </c>
      <c r="L5" s="8" t="inlineStr">
        <is>
          <t>Combat Ranged (Off)</t>
        </is>
      </c>
    </row>
    <row r="6">
      <c r="B6" s="17" t="inlineStr">
        <is>
          <t>Might</t>
        </is>
      </c>
      <c r="C6" s="17" t="inlineStr">
        <is>
          <t>Mass</t>
        </is>
      </c>
      <c r="D6" s="17" t="inlineStr">
        <is>
          <t>Tiraton</t>
        </is>
      </c>
      <c r="E6" s="17" t="inlineStr">
        <is>
          <t>Osmium</t>
        </is>
      </c>
      <c r="F6" s="17" t="inlineStr">
        <is>
          <t>Force</t>
        </is>
      </c>
      <c r="G6" s="16" t="inlineStr">
        <is>
          <t>Intimidation</t>
        </is>
      </c>
      <c r="H6" s="16" t="inlineStr">
        <is>
          <t>Strength</t>
        </is>
      </c>
      <c r="I6" s="16" t="inlineStr">
        <is>
          <t>Lore: Tribal &amp; Outlaw</t>
        </is>
      </c>
      <c r="J6" s="16" t="inlineStr">
        <is>
          <t>Band / Scale / Ringmail</t>
        </is>
      </c>
      <c r="K6" s="16" t="inlineStr">
        <is>
          <t>Heavy Bludgeons</t>
        </is>
      </c>
      <c r="L6" s="16" t="inlineStr">
        <is>
          <t>Heavy Crossbows</t>
        </is>
      </c>
    </row>
    <row r="7">
      <c r="B7" s="15" t="inlineStr">
        <is>
          <t>Endurance</t>
        </is>
      </c>
      <c r="C7" s="15" t="inlineStr">
        <is>
          <t>Ordo</t>
        </is>
      </c>
      <c r="D7" s="15" t="inlineStr">
        <is>
          <t>Stagus</t>
        </is>
      </c>
      <c r="E7" s="15" t="inlineStr">
        <is>
          <t>Titanium</t>
        </is>
      </c>
      <c r="F7" s="15" t="inlineStr">
        <is>
          <t>Cold</t>
        </is>
      </c>
      <c r="G7" s="14" t="inlineStr">
        <is>
          <t>Resilience</t>
        </is>
      </c>
      <c r="H7" s="14" t="inlineStr">
        <is>
          <t>Survival</t>
        </is>
      </c>
      <c r="I7" s="14" t="inlineStr">
        <is>
          <t>Lore: Common Folk</t>
        </is>
      </c>
      <c r="J7" s="14" t="inlineStr">
        <is>
          <t>Plate Armor</t>
        </is>
      </c>
      <c r="K7" s="14" t="inlineStr">
        <is>
          <t>Shields &amp; Polearms</t>
        </is>
      </c>
      <c r="L7" s="14" t="inlineStr">
        <is>
          <t>Flame Projectors</t>
        </is>
      </c>
    </row>
    <row r="8">
      <c r="B8" s="17" t="inlineStr">
        <is>
          <t>Finesse</t>
        </is>
      </c>
      <c r="C8" s="17" t="inlineStr">
        <is>
          <t>Flux</t>
        </is>
      </c>
      <c r="D8" s="17" t="inlineStr">
        <is>
          <t>Aurgenas</t>
        </is>
      </c>
      <c r="E8" s="17" t="inlineStr">
        <is>
          <t>Gold</t>
        </is>
      </c>
      <c r="F8" s="17" t="inlineStr">
        <is>
          <t>Acid</t>
        </is>
      </c>
      <c r="G8" s="16" t="inlineStr">
        <is>
          <t>Sleight of Hand</t>
        </is>
      </c>
      <c r="H8" s="16" t="inlineStr">
        <is>
          <t>Artifice</t>
        </is>
      </c>
      <c r="I8" s="16" t="inlineStr">
        <is>
          <t>Lore: Outlaw &amp; Criminal</t>
        </is>
      </c>
      <c r="J8" s="16" t="inlineStr">
        <is>
          <t>Camouflage Gear</t>
        </is>
      </c>
      <c r="K8" s="16" t="inlineStr">
        <is>
          <t>Dueling Blades</t>
        </is>
      </c>
      <c r="L8" s="16" t="inlineStr">
        <is>
          <t>Hand Crossbows / Darts</t>
        </is>
      </c>
    </row>
    <row r="9">
      <c r="B9" s="15" t="inlineStr">
        <is>
          <t>Reflex</t>
        </is>
      </c>
      <c r="C9" s="15" t="inlineStr">
        <is>
          <t>Motus</t>
        </is>
      </c>
      <c r="D9" s="15" t="inlineStr">
        <is>
          <t>Vecelo</t>
        </is>
      </c>
      <c r="E9" s="15" t="inlineStr">
        <is>
          <t>Lead</t>
        </is>
      </c>
      <c r="F9" s="15" t="inlineStr">
        <is>
          <t>Sonic</t>
        </is>
      </c>
      <c r="G9" s="14" t="inlineStr">
        <is>
          <t>Evasion</t>
        </is>
      </c>
      <c r="H9" s="14" t="inlineStr">
        <is>
          <t>Athletics</t>
        </is>
      </c>
      <c r="I9" s="14" t="inlineStr">
        <is>
          <t>Lore: Travel &amp; Routes</t>
        </is>
      </c>
      <c r="J9" s="14" t="inlineStr">
        <is>
          <t>Clothing / Utility</t>
        </is>
      </c>
      <c r="K9" s="14" t="inlineStr">
        <is>
          <t>Dual Knives</t>
        </is>
      </c>
      <c r="L9" s="14" t="inlineStr">
        <is>
          <t>Throwing Knives</t>
        </is>
      </c>
    </row>
    <row r="10">
      <c r="B10" s="17" t="inlineStr">
        <is>
          <t>Vitality</t>
        </is>
      </c>
      <c r="C10" s="17" t="inlineStr">
        <is>
          <t>Vita</t>
        </is>
      </c>
      <c r="D10" s="17" t="inlineStr">
        <is>
          <t>Gavusrix</t>
        </is>
      </c>
      <c r="E10" s="17" t="inlineStr">
        <is>
          <t>Silver</t>
        </is>
      </c>
      <c r="F10" s="17" t="inlineStr">
        <is>
          <t>Necro</t>
        </is>
      </c>
      <c r="G10" s="16" t="inlineStr">
        <is>
          <t>Comfort</t>
        </is>
      </c>
      <c r="H10" s="16" t="inlineStr">
        <is>
          <t>Provisioning</t>
        </is>
      </c>
      <c r="I10" s="16" t="inlineStr">
        <is>
          <t>Lore: Agriculture &amp; Wilds</t>
        </is>
      </c>
      <c r="J10" s="16" t="inlineStr">
        <is>
          <t>Wood &amp; Stone Armor</t>
        </is>
      </c>
      <c r="K10" s="16" t="inlineStr">
        <is>
          <t>Staves &amp; Rods</t>
        </is>
      </c>
      <c r="L10" s="16" t="inlineStr">
        <is>
          <t>Alchemic Grenades</t>
        </is>
      </c>
    </row>
    <row r="11">
      <c r="B11" s="15" t="inlineStr">
        <is>
          <t>Fortitude</t>
        </is>
      </c>
      <c r="C11" s="15" t="inlineStr">
        <is>
          <t>Nexus</t>
        </is>
      </c>
      <c r="D11" s="15" t="inlineStr">
        <is>
          <t>Carulkem</t>
        </is>
      </c>
      <c r="E11" s="15" t="inlineStr">
        <is>
          <t>Tungsten</t>
        </is>
      </c>
      <c r="F11" s="15" t="inlineStr">
        <is>
          <t>Fire</t>
        </is>
      </c>
      <c r="G11" s="14" t="inlineStr">
        <is>
          <t>Discipline</t>
        </is>
      </c>
      <c r="H11" s="14" t="inlineStr">
        <is>
          <t>Resourcefulness</t>
        </is>
      </c>
      <c r="I11" s="14" t="inlineStr">
        <is>
          <t>Lore: Miners &amp; Geology</t>
        </is>
      </c>
      <c r="J11" s="14" t="inlineStr">
        <is>
          <t>Unarmored Discipline</t>
        </is>
      </c>
      <c r="K11" s="14" t="inlineStr">
        <is>
          <t>Unarmed &amp; Fist Weapons</t>
        </is>
      </c>
      <c r="L11" s="14" t="inlineStr">
        <is>
          <t>Flying Strikes</t>
        </is>
      </c>
    </row>
    <row r="12">
      <c r="B12" s="17" t="inlineStr">
        <is>
          <t>Knowledge</t>
        </is>
      </c>
      <c r="C12" s="17" t="inlineStr">
        <is>
          <t>Anumis</t>
        </is>
      </c>
      <c r="D12" s="17" t="inlineStr">
        <is>
          <t>Lophex</t>
        </is>
      </c>
      <c r="E12" s="17" t="inlineStr">
        <is>
          <t>Bismuth</t>
        </is>
      </c>
      <c r="F12" s="17" t="inlineStr">
        <is>
          <t>Arcane</t>
        </is>
      </c>
      <c r="G12" s="16" t="inlineStr">
        <is>
          <t>Debate</t>
        </is>
      </c>
      <c r="H12" s="16" t="inlineStr">
        <is>
          <t>Navigation</t>
        </is>
      </c>
      <c r="I12" s="16" t="inlineStr">
        <is>
          <t>Lore: Science &amp; Academics</t>
        </is>
      </c>
      <c r="J12" s="16" t="inlineStr">
        <is>
          <t>Robes / Cloaks</t>
        </is>
      </c>
      <c r="K12" s="16" t="inlineStr">
        <is>
          <t>Tech Blades</t>
        </is>
      </c>
      <c r="L12" s="16" t="inlineStr">
        <is>
          <t>Thrown Spears</t>
        </is>
      </c>
    </row>
    <row r="13">
      <c r="B13" s="15" t="inlineStr">
        <is>
          <t>Logic</t>
        </is>
      </c>
      <c r="C13" s="15" t="inlineStr">
        <is>
          <t>Ratio</t>
        </is>
      </c>
      <c r="D13" s="15" t="inlineStr">
        <is>
          <t>Metrion</t>
        </is>
      </c>
      <c r="E13" s="15" t="inlineStr">
        <is>
          <t>Silicon</t>
        </is>
      </c>
      <c r="F13" s="15" t="inlineStr">
        <is>
          <t>Shock</t>
        </is>
      </c>
      <c r="G13" s="14" t="inlineStr">
        <is>
          <t>Rhetoric</t>
        </is>
      </c>
      <c r="H13" s="14" t="inlineStr">
        <is>
          <t>Pathfinding</t>
        </is>
      </c>
      <c r="I13" s="14" t="inlineStr">
        <is>
          <t>Lore: Trades &amp; Engineering</t>
        </is>
      </c>
      <c r="J13" s="14" t="inlineStr">
        <is>
          <t>Chainmail</t>
        </is>
      </c>
      <c r="K13" s="14" t="inlineStr">
        <is>
          <t>Chemical Weapons</t>
        </is>
      </c>
      <c r="L13" s="14" t="inlineStr">
        <is>
          <t>Nets &amp; Bolas</t>
        </is>
      </c>
    </row>
    <row r="14">
      <c r="B14" s="17" t="inlineStr">
        <is>
          <t>Awareness</t>
        </is>
      </c>
      <c r="C14" s="17" t="inlineStr">
        <is>
          <t>Lux</t>
        </is>
      </c>
      <c r="D14" s="17" t="inlineStr">
        <is>
          <t>Opecten</t>
        </is>
      </c>
      <c r="E14" s="17" t="inlineStr">
        <is>
          <t>Chromium</t>
        </is>
      </c>
      <c r="F14" s="17" t="inlineStr">
        <is>
          <t>Radiant</t>
        </is>
      </c>
      <c r="G14" s="16" t="inlineStr">
        <is>
          <t>Insight</t>
        </is>
      </c>
      <c r="H14" s="16" t="inlineStr">
        <is>
          <t>Security</t>
        </is>
      </c>
      <c r="I14" s="16" t="inlineStr">
        <is>
          <t>Lore: Merchant &amp; Trade</t>
        </is>
      </c>
      <c r="J14" s="16" t="inlineStr">
        <is>
          <t>Leather / Hides</t>
        </is>
      </c>
      <c r="K14" s="16" t="inlineStr">
        <is>
          <t>Hooks &amp; Axes</t>
        </is>
      </c>
      <c r="L14" s="16" t="inlineStr">
        <is>
          <t>Bows</t>
        </is>
      </c>
    </row>
    <row r="15">
      <c r="B15" s="15" t="inlineStr">
        <is>
          <t>Intuition</t>
        </is>
      </c>
      <c r="C15" s="15" t="inlineStr">
        <is>
          <t>Omen</t>
        </is>
      </c>
      <c r="D15" s="15" t="inlineStr">
        <is>
          <t>Termhill</t>
        </is>
      </c>
      <c r="E15" s="15" t="inlineStr">
        <is>
          <t>Iridium</t>
        </is>
      </c>
      <c r="F15" s="15" t="inlineStr">
        <is>
          <t>Temporal</t>
        </is>
      </c>
      <c r="G15" s="14" t="inlineStr">
        <is>
          <t>Empathy</t>
        </is>
      </c>
      <c r="H15" s="14" t="inlineStr">
        <is>
          <t>Nature Sense</t>
        </is>
      </c>
      <c r="I15" s="14" t="inlineStr">
        <is>
          <t>Lore: Religion &amp; Spirits</t>
        </is>
      </c>
      <c r="J15" s="14" t="inlineStr">
        <is>
          <t>Tribal / Spirit Wards</t>
        </is>
      </c>
      <c r="K15" s="14" t="inlineStr">
        <is>
          <t>Swinging Weapons</t>
        </is>
      </c>
      <c r="L15" s="14" t="inlineStr">
        <is>
          <t>Boomerangs &amp; Chakrams</t>
        </is>
      </c>
    </row>
    <row r="16">
      <c r="B16" s="17" t="inlineStr">
        <is>
          <t>Charm</t>
        </is>
      </c>
      <c r="C16" s="17" t="inlineStr">
        <is>
          <t>Aura</t>
        </is>
      </c>
      <c r="D16" s="17" t="inlineStr">
        <is>
          <t>Virantor</t>
        </is>
      </c>
      <c r="E16" s="17" t="inlineStr">
        <is>
          <t>Phosphorus</t>
        </is>
      </c>
      <c r="F16" s="17" t="inlineStr">
        <is>
          <t>Spirit</t>
        </is>
      </c>
      <c r="G16" s="16" t="inlineStr">
        <is>
          <t>Persuasion</t>
        </is>
      </c>
      <c r="H16" s="16" t="inlineStr">
        <is>
          <t>Communication</t>
        </is>
      </c>
      <c r="I16" s="16" t="inlineStr">
        <is>
          <t>Lore: Nobility &amp; Court</t>
        </is>
      </c>
      <c r="J16" s="16" t="inlineStr">
        <is>
          <t>Ornate / Showy Attire</t>
        </is>
      </c>
      <c r="K16" s="16" t="inlineStr">
        <is>
          <t>Whips &amp; Scepters</t>
        </is>
      </c>
      <c r="L16" s="16" t="inlineStr">
        <is>
          <t>Muskets</t>
        </is>
      </c>
    </row>
    <row r="17">
      <c r="B17" s="15" t="inlineStr">
        <is>
          <t>Willpower</t>
        </is>
      </c>
      <c r="C17" s="15" t="inlineStr">
        <is>
          <t>Lex</t>
        </is>
      </c>
      <c r="D17" s="15" t="inlineStr">
        <is>
          <t>Tyrustis</t>
        </is>
      </c>
      <c r="E17" s="15" t="inlineStr">
        <is>
          <t>Lithium</t>
        </is>
      </c>
      <c r="F17" s="15" t="inlineStr">
        <is>
          <t>Psychic</t>
        </is>
      </c>
      <c r="G17" s="14" t="inlineStr">
        <is>
          <t>Negotiations</t>
        </is>
      </c>
      <c r="H17" s="14" t="inlineStr">
        <is>
          <t>Expedition</t>
        </is>
      </c>
      <c r="I17" s="14" t="inlineStr">
        <is>
          <t>Lore: Royalty &amp; Politics</t>
        </is>
      </c>
      <c r="J17" s="14" t="inlineStr">
        <is>
          <t>Reinforced Armor</t>
        </is>
      </c>
      <c r="K17" s="14" t="inlineStr">
        <is>
          <t>Two-Handed Cleavers</t>
        </is>
      </c>
      <c r="L17" s="14" t="inlineStr">
        <is>
          <t>Siege Weapons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21" customWidth="1" min="5" max="5"/>
    <col width="17" customWidth="1" min="6" max="6"/>
    <col width="30" customWidth="1" min="7" max="7"/>
    <col width="41" customWidth="1" min="8" max="8"/>
    <col width="38" customWidth="1" min="9" max="9"/>
    <col width="29" customWidth="1" min="10" max="10"/>
    <col width="29" customWidth="1" min="11" max="11"/>
  </cols>
  <sheetData>
    <row r="1"/>
    <row r="2">
      <c r="B2" s="1" t="inlineStr">
        <is>
          <t>24 Mundane Martial Tracks (12 Offense, 12 Defense)</t>
        </is>
      </c>
    </row>
    <row r="3">
      <c r="B3" s="2" t="inlineStr">
        <is>
          <t>4-Rank Mastery Progression: Rank 1 (+1 Mod), Rank 2 (Loadout Tax Reduction), Rank 3 (+2 Mod), Rank 4 (Apex Perk).</t>
        </is>
      </c>
    </row>
    <row r="4"/>
    <row r="5">
      <c r="B5" s="8" t="inlineStr">
        <is>
          <t>Track Name</t>
        </is>
      </c>
      <c r="C5" s="8" t="inlineStr">
        <is>
          <t>Type</t>
        </is>
      </c>
      <c r="D5" s="8" t="inlineStr">
        <is>
          <t>Attribute</t>
        </is>
      </c>
      <c r="E5" s="8" t="inlineStr">
        <is>
          <t>Associated Gear</t>
        </is>
      </c>
      <c r="F5" s="8" t="inlineStr">
        <is>
          <t>Rank 1 Perk</t>
        </is>
      </c>
      <c r="G5" s="8" t="inlineStr">
        <is>
          <t>Rank 2 Perk (Tax Reduction)</t>
        </is>
      </c>
      <c r="H5" s="8" t="inlineStr">
        <is>
          <t>Rank 3 Perk</t>
        </is>
      </c>
      <c r="I5" s="8" t="inlineStr">
        <is>
          <t>Rank 4 Apex Perk</t>
        </is>
      </c>
      <c r="J5" s="8" t="inlineStr">
        <is>
          <t>Active Maneuver 1 (Cost)</t>
        </is>
      </c>
      <c r="K5" s="8" t="inlineStr">
        <is>
          <t>Active Maneuver 2 (Cost)</t>
        </is>
      </c>
    </row>
    <row r="6">
      <c r="B6" s="16" t="inlineStr">
        <is>
          <t>Shattering Offense</t>
        </is>
      </c>
      <c r="C6" s="17" t="inlineStr">
        <is>
          <t>Offense</t>
        </is>
      </c>
      <c r="D6" s="17" t="inlineStr">
        <is>
          <t>Might</t>
        </is>
      </c>
      <c r="E6" s="16" t="inlineStr">
        <is>
          <t>Heavy Bludgeons</t>
        </is>
      </c>
      <c r="F6" s="16" t="inlineStr">
        <is>
          <t>+1 Attack Mod</t>
        </is>
      </c>
      <c r="G6" s="16" t="inlineStr">
        <is>
          <t>-3 ST Loadout Tax</t>
        </is>
      </c>
      <c r="H6" s="16" t="inlineStr">
        <is>
          <t>+2 Attack Mod &amp; Cover Crush</t>
        </is>
      </c>
      <c r="I6" s="16" t="inlineStr">
        <is>
          <t>Misses do not grant counter-adv</t>
        </is>
      </c>
      <c r="J6" s="16" t="inlineStr">
        <is>
          <t>Power Strike (2 ST)</t>
        </is>
      </c>
      <c r="K6" s="16" t="inlineStr">
        <is>
          <t>Armor Breaker (3 ST, 1 FC)</t>
        </is>
      </c>
    </row>
    <row r="7">
      <c r="B7" s="14" t="inlineStr">
        <is>
          <t>Juggernaut Defense</t>
        </is>
      </c>
      <c r="C7" s="15" t="inlineStr">
        <is>
          <t>Defense</t>
        </is>
      </c>
      <c r="D7" s="15" t="inlineStr">
        <is>
          <t>Might</t>
        </is>
      </c>
      <c r="E7" s="14" t="inlineStr">
        <is>
          <t>Band/Scale Armor</t>
        </is>
      </c>
      <c r="F7" s="14" t="inlineStr">
        <is>
          <t>+1 Defense Mod</t>
        </is>
      </c>
      <c r="G7" s="14" t="inlineStr">
        <is>
          <t>-4 ST Loadout Tax</t>
        </is>
      </c>
      <c r="H7" s="14" t="inlineStr">
        <is>
          <t>+2 Def Mod &amp; Knockback Anchor</t>
        </is>
      </c>
      <c r="I7" s="14" t="inlineStr">
        <is>
          <t>Defensive miss staggers attacker</t>
        </is>
      </c>
      <c r="J7" s="14" t="inlineStr">
        <is>
          <t>Immovable Root (2 ST)</t>
        </is>
      </c>
      <c r="K7" s="14" t="inlineStr">
        <is>
          <t>Shrug Off (3 ST)</t>
        </is>
      </c>
    </row>
    <row r="8">
      <c r="B8" s="16" t="inlineStr">
        <is>
          <t>Attrition Advance</t>
        </is>
      </c>
      <c r="C8" s="17" t="inlineStr">
        <is>
          <t>Offense</t>
        </is>
      </c>
      <c r="D8" s="17" t="inlineStr">
        <is>
          <t>Endurance</t>
        </is>
      </c>
      <c r="E8" s="16" t="inlineStr">
        <is>
          <t>Shields &amp; Polearms</t>
        </is>
      </c>
      <c r="F8" s="16" t="inlineStr">
        <is>
          <t>+1 Attack Mod</t>
        </is>
      </c>
      <c r="G8" s="16" t="inlineStr">
        <is>
          <t>-3 ST Loadout Tax</t>
        </is>
      </c>
      <c r="H8" s="16" t="inlineStr">
        <is>
          <t>+2 Attack Mod &amp; Stamina Drain</t>
        </is>
      </c>
      <c r="I8" s="16" t="inlineStr">
        <is>
          <t>Guaranteed 1 Graze damage on parry</t>
        </is>
      </c>
      <c r="J8" s="16" t="inlineStr">
        <is>
          <t>Piercing Thrust (2 ST)</t>
        </is>
      </c>
      <c r="K8" s="16" t="inlineStr">
        <is>
          <t>Grinding Press (3 ST)</t>
        </is>
      </c>
    </row>
    <row r="9">
      <c r="B9" s="14" t="inlineStr">
        <is>
          <t>Vanguard Posture</t>
        </is>
      </c>
      <c r="C9" s="15" t="inlineStr">
        <is>
          <t>Defense</t>
        </is>
      </c>
      <c r="D9" s="15" t="inlineStr">
        <is>
          <t>Endurance</t>
        </is>
      </c>
      <c r="E9" s="14" t="inlineStr">
        <is>
          <t>Plate Armor</t>
        </is>
      </c>
      <c r="F9" s="14" t="inlineStr">
        <is>
          <t>+1 Defense Mod</t>
        </is>
      </c>
      <c r="G9" s="14" t="inlineStr">
        <is>
          <t>-5 ST Loadout Tax</t>
        </is>
      </c>
      <c r="H9" s="14" t="inlineStr">
        <is>
          <t>+2 Def Mod &amp; Ignore Exhaustion</t>
        </is>
      </c>
      <c r="I9" s="14" t="inlineStr">
        <is>
          <t>Reflects 1 Graze point on parry</t>
        </is>
      </c>
      <c r="J9" s="14" t="inlineStr">
        <is>
          <t>Second Wind (2 ST, 1 FC)</t>
        </is>
      </c>
      <c r="K9" s="14" t="inlineStr">
        <is>
          <t>Iron Lungs (3 ST)</t>
        </is>
      </c>
    </row>
    <row r="10">
      <c r="B10" s="16" t="inlineStr">
        <is>
          <t>Vitals Precision</t>
        </is>
      </c>
      <c r="C10" s="17" t="inlineStr">
        <is>
          <t>Offense</t>
        </is>
      </c>
      <c r="D10" s="17" t="inlineStr">
        <is>
          <t>Finesse</t>
        </is>
      </c>
      <c r="E10" s="16" t="inlineStr">
        <is>
          <t>Dueling Blades</t>
        </is>
      </c>
      <c r="F10" s="16" t="inlineStr">
        <is>
          <t>+1 Attack Mod</t>
        </is>
      </c>
      <c r="G10" s="16" t="inlineStr">
        <is>
          <t>-2 ST Loadout Tax</t>
        </is>
      </c>
      <c r="H10" s="16" t="inlineStr">
        <is>
          <t>+2 Attack Mod &amp; Armor Gap Lock</t>
        </is>
      </c>
      <c r="I10" s="16" t="inlineStr">
        <is>
          <t>Critical Hits bypass 50% flat armor</t>
        </is>
      </c>
      <c r="J10" s="16" t="inlineStr">
        <is>
          <t>Gap Lunge (2 ST)</t>
        </is>
      </c>
      <c r="K10" s="16" t="inlineStr">
        <is>
          <t>Vascular Pin (3 ST)</t>
        </is>
      </c>
    </row>
    <row r="11">
      <c r="B11" s="14" t="inlineStr">
        <is>
          <t>Minimalist Parry</t>
        </is>
      </c>
      <c r="C11" s="15" t="inlineStr">
        <is>
          <t>Defense</t>
        </is>
      </c>
      <c r="D11" s="15" t="inlineStr">
        <is>
          <t>Finesse</t>
        </is>
      </c>
      <c r="E11" s="14" t="inlineStr">
        <is>
          <t>Camo Gear</t>
        </is>
      </c>
      <c r="F11" s="14" t="inlineStr">
        <is>
          <t>+1 Defense Mod</t>
        </is>
      </c>
      <c r="G11" s="14" t="inlineStr">
        <is>
          <t>-2 ST Loadout Tax</t>
        </is>
      </c>
      <c r="H11" s="14" t="inlineStr">
        <is>
          <t>+2 Def Mod &amp; Counter-Window +1</t>
        </is>
      </c>
      <c r="I11" s="14" t="inlineStr">
        <is>
          <t>Successful dodge resets Move Action</t>
        </is>
      </c>
      <c r="J11" s="14" t="inlineStr">
        <is>
          <t>Redirecting Parry (2 ST)</t>
        </is>
      </c>
      <c r="K11" s="14" t="inlineStr">
        <is>
          <t>Shadow Step (2 ST)</t>
        </is>
      </c>
    </row>
    <row r="12">
      <c r="B12" s="16" t="inlineStr">
        <is>
          <t>Hair-Trigger Lunge</t>
        </is>
      </c>
      <c r="C12" s="17" t="inlineStr">
        <is>
          <t>Offense</t>
        </is>
      </c>
      <c r="D12" s="17" t="inlineStr">
        <is>
          <t>Reflex</t>
        </is>
      </c>
      <c r="E12" s="16" t="inlineStr">
        <is>
          <t>Dual Knives</t>
        </is>
      </c>
      <c r="F12" s="16" t="inlineStr">
        <is>
          <t>+1 Attack Mod</t>
        </is>
      </c>
      <c r="G12" s="16" t="inlineStr">
        <is>
          <t>-2 ST Loadout Tax</t>
        </is>
      </c>
      <c r="H12" s="16" t="inlineStr">
        <is>
          <t>+2 Attack Mod &amp; First-Strike Advantage</t>
        </is>
      </c>
      <c r="I12" s="16" t="inlineStr">
        <is>
          <t>Extra attack on tie clash</t>
        </is>
      </c>
      <c r="J12" s="16" t="inlineStr">
        <is>
          <t>Flurry Burst (3 ST)</t>
        </is>
      </c>
      <c r="K12" s="16" t="inlineStr">
        <is>
          <t>Flash Lunge (2 ST)</t>
        </is>
      </c>
    </row>
    <row r="13">
      <c r="B13" s="14" t="inlineStr">
        <is>
          <t>Flash Evasion</t>
        </is>
      </c>
      <c r="C13" s="15" t="inlineStr">
        <is>
          <t>Defense</t>
        </is>
      </c>
      <c r="D13" s="15" t="inlineStr">
        <is>
          <t>Reflex</t>
        </is>
      </c>
      <c r="E13" s="14" t="inlineStr">
        <is>
          <t>Clothing / Utility</t>
        </is>
      </c>
      <c r="F13" s="14" t="inlineStr">
        <is>
          <t>+1 Defense Mod</t>
        </is>
      </c>
      <c r="G13" s="14" t="inlineStr">
        <is>
          <t>-2 ST Loadout Tax</t>
        </is>
      </c>
      <c r="H13" s="14" t="inlineStr">
        <is>
          <t>+2 Def Mod &amp; AoE Dodge</t>
        </is>
      </c>
      <c r="I13" s="14" t="inlineStr">
        <is>
          <t>Dodge leaves decoy prop</t>
        </is>
      </c>
      <c r="J13" s="14" t="inlineStr">
        <is>
          <t>Evasive Burst (2 ST)</t>
        </is>
      </c>
      <c r="K13" s="14" t="inlineStr">
        <is>
          <t>Reactive Leap (2 ST)</t>
        </is>
      </c>
    </row>
    <row r="14">
      <c r="B14" s="16" t="inlineStr">
        <is>
          <t>Somatic Battering</t>
        </is>
      </c>
      <c r="C14" s="17" t="inlineStr">
        <is>
          <t>Offense</t>
        </is>
      </c>
      <c r="D14" s="17" t="inlineStr">
        <is>
          <t>Vitality</t>
        </is>
      </c>
      <c r="E14" s="16" t="inlineStr">
        <is>
          <t>Staves &amp; Rods</t>
        </is>
      </c>
      <c r="F14" s="16" t="inlineStr">
        <is>
          <t>+1 Attack Mod</t>
        </is>
      </c>
      <c r="G14" s="16" t="inlineStr">
        <is>
          <t>-3 ST Loadout Tax</t>
        </is>
      </c>
      <c r="H14" s="16" t="inlineStr">
        <is>
          <t>+2 Attack Mod &amp; Stun Probability</t>
        </is>
      </c>
      <c r="I14" s="16" t="inlineStr">
        <is>
          <t>Hits restore 1 HP on major success</t>
        </is>
      </c>
      <c r="J14" s="16" t="inlineStr">
        <is>
          <t>Crushing Charge (3 ST)</t>
        </is>
      </c>
      <c r="K14" s="16" t="inlineStr">
        <is>
          <t>Battering Ram (3 ST)</t>
        </is>
      </c>
    </row>
    <row r="15">
      <c r="B15" s="14" t="inlineStr">
        <is>
          <t>Organic Hardness</t>
        </is>
      </c>
      <c r="C15" s="15" t="inlineStr">
        <is>
          <t>Defense</t>
        </is>
      </c>
      <c r="D15" s="15" t="inlineStr">
        <is>
          <t>Vitality</t>
        </is>
      </c>
      <c r="E15" s="14" t="inlineStr">
        <is>
          <t>Stone Armor</t>
        </is>
      </c>
      <c r="F15" s="14" t="inlineStr">
        <is>
          <t>+1 Defense Mod</t>
        </is>
      </c>
      <c r="G15" s="14" t="inlineStr">
        <is>
          <t>-3 ST Loadout Tax</t>
        </is>
      </c>
      <c r="H15" s="14" t="inlineStr">
        <is>
          <t>+2 Def Mod &amp; Shock Absorption</t>
        </is>
      </c>
      <c r="I15" s="14" t="inlineStr">
        <is>
          <t>Negates critical injury severity</t>
        </is>
      </c>
      <c r="J15" s="14" t="inlineStr">
        <is>
          <t>Organ Shift (2 ST)</t>
        </is>
      </c>
      <c r="K15" s="14" t="inlineStr">
        <is>
          <t>Somatic Guard (3 ST)</t>
        </is>
      </c>
    </row>
    <row r="16">
      <c r="B16" s="16" t="inlineStr">
        <is>
          <t>Bulwark Bashing</t>
        </is>
      </c>
      <c r="C16" s="17" t="inlineStr">
        <is>
          <t>Offense</t>
        </is>
      </c>
      <c r="D16" s="17" t="inlineStr">
        <is>
          <t>Fortitude</t>
        </is>
      </c>
      <c r="E16" s="16" t="inlineStr">
        <is>
          <t>Fist Weapons</t>
        </is>
      </c>
      <c r="F16" s="16" t="inlineStr">
        <is>
          <t>+1 Attack Mod</t>
        </is>
      </c>
      <c r="G16" s="16" t="inlineStr">
        <is>
          <t>-3 ST Loadout Tax</t>
        </is>
      </c>
      <c r="H16" s="16" t="inlineStr">
        <is>
          <t>+2 Attack Mod &amp; Wall Slam</t>
        </is>
      </c>
      <c r="I16" s="16" t="inlineStr">
        <is>
          <t>Knocks target Prone on major hit</t>
        </is>
      </c>
      <c r="J16" s="16" t="inlineStr">
        <is>
          <t>Shield Barge (2 ST)</t>
        </is>
      </c>
      <c r="K16" s="16" t="inlineStr">
        <is>
          <t>Flying Strike (3 ST)</t>
        </is>
      </c>
    </row>
    <row r="17">
      <c r="B17" s="14" t="inlineStr">
        <is>
          <t>Anvil Posture</t>
        </is>
      </c>
      <c r="C17" s="15" t="inlineStr">
        <is>
          <t>Defense</t>
        </is>
      </c>
      <c r="D17" s="15" t="inlineStr">
        <is>
          <t>Fortitude</t>
        </is>
      </c>
      <c r="E17" s="14" t="inlineStr">
        <is>
          <t>Unarmored</t>
        </is>
      </c>
      <c r="F17" s="14" t="inlineStr">
        <is>
          <t>+1 Defense Mod</t>
        </is>
      </c>
      <c r="G17" s="14" t="inlineStr">
        <is>
          <t>-3 ST Loadout Tax</t>
        </is>
      </c>
      <c r="H17" s="14" t="inlineStr">
        <is>
          <t>+2 Def Mod &amp; Unshakeable Anchor</t>
        </is>
      </c>
      <c r="I17" s="14" t="inlineStr">
        <is>
          <t>Immune to Disarm / Trip in clash</t>
        </is>
      </c>
      <c r="J17" s="14" t="inlineStr">
        <is>
          <t>Iron Frame (2 ST)</t>
        </is>
      </c>
      <c r="K17" s="14" t="inlineStr">
        <is>
          <t>Anvil Block (3 ST)</t>
        </is>
      </c>
    </row>
    <row r="18">
      <c r="B18" s="16" t="inlineStr">
        <is>
          <t>Anatomical Exploit</t>
        </is>
      </c>
      <c r="C18" s="17" t="inlineStr">
        <is>
          <t>Offense</t>
        </is>
      </c>
      <c r="D18" s="17" t="inlineStr">
        <is>
          <t>Knowledge</t>
        </is>
      </c>
      <c r="E18" s="16" t="inlineStr">
        <is>
          <t>Tech Blades</t>
        </is>
      </c>
      <c r="F18" s="16" t="inlineStr">
        <is>
          <t>+1 Attack Mod</t>
        </is>
      </c>
      <c r="G18" s="16" t="inlineStr">
        <is>
          <t>-2 FC Loadout Tax</t>
        </is>
      </c>
      <c r="H18" s="16" t="inlineStr">
        <is>
          <t>+2 Attack Mod &amp; Tech Bypass</t>
        </is>
      </c>
      <c r="I18" s="16" t="inlineStr">
        <is>
          <t>Ignores target cover bonus</t>
        </is>
      </c>
      <c r="J18" s="16" t="inlineStr">
        <is>
          <t>Anatomical Probe (2 FC)</t>
        </is>
      </c>
      <c r="K18" s="16" t="inlineStr">
        <is>
          <t>Vector Strike (3 FC)</t>
        </is>
      </c>
    </row>
    <row r="19">
      <c r="B19" s="14" t="inlineStr">
        <is>
          <t>Calculated Cloak</t>
        </is>
      </c>
      <c r="C19" s="15" t="inlineStr">
        <is>
          <t>Defense</t>
        </is>
      </c>
      <c r="D19" s="15" t="inlineStr">
        <is>
          <t>Knowledge</t>
        </is>
      </c>
      <c r="E19" s="14" t="inlineStr">
        <is>
          <t>Robes / Cloaks</t>
        </is>
      </c>
      <c r="F19" s="14" t="inlineStr">
        <is>
          <t>+1 Defense Mod</t>
        </is>
      </c>
      <c r="G19" s="14" t="inlineStr">
        <is>
          <t>-2 FC Loadout Tax</t>
        </is>
      </c>
      <c r="H19" s="14" t="inlineStr">
        <is>
          <t>+2 Def Mod &amp; Trajectory Reading</t>
        </is>
      </c>
      <c r="I19" s="14" t="inlineStr">
        <is>
          <t>Dodge Grants +2 Next Attack</t>
        </is>
      </c>
      <c r="J19" s="14" t="inlineStr">
        <is>
          <t>Predictive Evasion (2 FC)</t>
        </is>
      </c>
      <c r="K19" s="14" t="inlineStr">
        <is>
          <t>Vector Shield (2 FC)</t>
        </is>
      </c>
    </row>
    <row r="20">
      <c r="B20" s="16" t="inlineStr">
        <is>
          <t>Rhetorical Demolition</t>
        </is>
      </c>
      <c r="C20" s="17" t="inlineStr">
        <is>
          <t>Offense</t>
        </is>
      </c>
      <c r="D20" s="17" t="inlineStr">
        <is>
          <t>Logic</t>
        </is>
      </c>
      <c r="E20" s="16" t="inlineStr">
        <is>
          <t>Chemical / Nets</t>
        </is>
      </c>
      <c r="F20" s="16" t="inlineStr">
        <is>
          <t>+1 Attack Mod</t>
        </is>
      </c>
      <c r="G20" s="16" t="inlineStr">
        <is>
          <t>-2 FC Loadout Tax</t>
        </is>
      </c>
      <c r="H20" s="16" t="inlineStr">
        <is>
          <t>+2 Attack Mod &amp; Composure Burn</t>
        </is>
      </c>
      <c r="I20" s="16" t="inlineStr">
        <is>
          <t>Target CP drop causes Panic</t>
        </is>
      </c>
      <c r="J20" s="16" t="inlineStr">
        <is>
          <t>Socratic Dissection (2 FC)</t>
        </is>
      </c>
      <c r="K20" s="16" t="inlineStr">
        <is>
          <t>Logical Debunk (3 FC)</t>
        </is>
      </c>
    </row>
    <row r="21">
      <c r="B21" s="14" t="inlineStr">
        <is>
          <t>Fallacy Firewall</t>
        </is>
      </c>
      <c r="C21" s="15" t="inlineStr">
        <is>
          <t>Defense</t>
        </is>
      </c>
      <c r="D21" s="15" t="inlineStr">
        <is>
          <t>Logic</t>
        </is>
      </c>
      <c r="E21" s="14" t="inlineStr">
        <is>
          <t>Chainmail</t>
        </is>
      </c>
      <c r="F21" s="14" t="inlineStr">
        <is>
          <t>+1 Defense Mod</t>
        </is>
      </c>
      <c r="G21" s="14" t="inlineStr">
        <is>
          <t>-3 ST Loadout Tax</t>
        </is>
      </c>
      <c r="H21" s="14" t="inlineStr">
        <is>
          <t>+2 Def Mod &amp; Deception Lock</t>
        </is>
      </c>
      <c r="I21" s="14" t="inlineStr">
        <is>
          <t>Reflects social shaming damage</t>
        </is>
      </c>
      <c r="J21" s="14" t="inlineStr">
        <is>
          <t>Rational Rebuttal (2 FC)</t>
        </is>
      </c>
      <c r="K21" s="14" t="inlineStr">
        <is>
          <t>Debunk Barrier (2 FC)</t>
        </is>
      </c>
    </row>
    <row r="22">
      <c r="B22" s="16" t="inlineStr">
        <is>
          <t>Ambush Strike</t>
        </is>
      </c>
      <c r="C22" s="17" t="inlineStr">
        <is>
          <t>Offense</t>
        </is>
      </c>
      <c r="D22" s="17" t="inlineStr">
        <is>
          <t>Awareness</t>
        </is>
      </c>
      <c r="E22" s="16" t="inlineStr">
        <is>
          <t>Bows &amp; Axes</t>
        </is>
      </c>
      <c r="F22" s="16" t="inlineStr">
        <is>
          <t>+1 Attack Mod</t>
        </is>
      </c>
      <c r="G22" s="16" t="inlineStr">
        <is>
          <t>-2 ST Loadout Tax</t>
        </is>
      </c>
      <c r="H22" s="16" t="inlineStr">
        <is>
          <t>+2 Attack Mod &amp; Stealth Multiplier</t>
        </is>
      </c>
      <c r="I22" s="16" t="inlineStr">
        <is>
          <t>Attacks from stealth auto-crit</t>
        </is>
      </c>
      <c r="J22" s="16" t="inlineStr">
        <is>
          <t>Shadow Strike (2 ST)</t>
        </is>
      </c>
      <c r="K22" s="16" t="inlineStr">
        <is>
          <t>Pinpoint Shot (2 FC)</t>
        </is>
      </c>
    </row>
    <row r="23">
      <c r="B23" s="14" t="inlineStr">
        <is>
          <t>Pre-Emptive Alert</t>
        </is>
      </c>
      <c r="C23" s="15" t="inlineStr">
        <is>
          <t>Defense</t>
        </is>
      </c>
      <c r="D23" s="15" t="inlineStr">
        <is>
          <t>Awareness</t>
        </is>
      </c>
      <c r="E23" s="14" t="inlineStr">
        <is>
          <t>Hides / Leather</t>
        </is>
      </c>
      <c r="F23" s="14" t="inlineStr">
        <is>
          <t>+1 Defense Mod</t>
        </is>
      </c>
      <c r="G23" s="14" t="inlineStr">
        <is>
          <t>-2 ST Loadout Tax</t>
        </is>
      </c>
      <c r="H23" s="14" t="inlineStr">
        <is>
          <t>+2 Def Mod &amp; Anti-Surprise</t>
        </is>
      </c>
      <c r="I23" s="14" t="inlineStr">
        <is>
          <t>Cannot be flanked or ambushed</t>
        </is>
      </c>
      <c r="J23" s="14" t="inlineStr">
        <is>
          <t>Danger Sense (2 FC)</t>
        </is>
      </c>
      <c r="K23" s="14" t="inlineStr">
        <is>
          <t>Pre-emptive Step (2 ST)</t>
        </is>
      </c>
    </row>
    <row r="24">
      <c r="B24" s="16" t="inlineStr">
        <is>
          <t>Deceptive Tell</t>
        </is>
      </c>
      <c r="C24" s="17" t="inlineStr">
        <is>
          <t>Offense</t>
        </is>
      </c>
      <c r="D24" s="17" t="inlineStr">
        <is>
          <t>Intuition</t>
        </is>
      </c>
      <c r="E24" s="16" t="inlineStr">
        <is>
          <t>Swinging Weapons</t>
        </is>
      </c>
      <c r="F24" s="16" t="inlineStr">
        <is>
          <t>+1 Attack Mod</t>
        </is>
      </c>
      <c r="G24" s="16" t="inlineStr">
        <is>
          <t>-2 FC Loadout Tax</t>
        </is>
      </c>
      <c r="H24" s="16" t="inlineStr">
        <is>
          <t>+2 Attack Mod &amp; Clash Advantage</t>
        </is>
      </c>
      <c r="I24" s="16" t="inlineStr">
        <is>
          <t>Wins all Clash tie-breakers</t>
        </is>
      </c>
      <c r="J24" s="16" t="inlineStr">
        <is>
          <t>Feinting Ripple (2 FC)</t>
        </is>
      </c>
      <c r="K24" s="16" t="inlineStr">
        <is>
          <t>Instinctive Lunge (2 ST)</t>
        </is>
      </c>
    </row>
    <row r="25">
      <c r="B25" s="14" t="inlineStr">
        <is>
          <t>Subconscious Sway</t>
        </is>
      </c>
      <c r="C25" s="15" t="inlineStr">
        <is>
          <t>Defense</t>
        </is>
      </c>
      <c r="D25" s="15" t="inlineStr">
        <is>
          <t>Intuition</t>
        </is>
      </c>
      <c r="E25" s="14" t="inlineStr">
        <is>
          <t>Spirit Wards</t>
        </is>
      </c>
      <c r="F25" s="14" t="inlineStr">
        <is>
          <t>+1 Defense Mod</t>
        </is>
      </c>
      <c r="G25" s="14" t="inlineStr">
        <is>
          <t>-2 FC Loadout Tax</t>
        </is>
      </c>
      <c r="H25" s="14" t="inlineStr">
        <is>
          <t>+2 Def Mod &amp; Hazard Dodge</t>
        </is>
      </c>
      <c r="I25" s="14" t="inlineStr">
        <is>
          <t>Automatically passes trip checks</t>
        </is>
      </c>
      <c r="J25" s="14" t="inlineStr">
        <is>
          <t>Instinctive Duck (2 FC)</t>
        </is>
      </c>
      <c r="K25" s="14" t="inlineStr">
        <is>
          <t>Somatic Sway (2 FC)</t>
        </is>
      </c>
    </row>
    <row r="26">
      <c r="B26" s="16" t="inlineStr">
        <is>
          <t>Commanding Rebuke</t>
        </is>
      </c>
      <c r="C26" s="17" t="inlineStr">
        <is>
          <t>Offense</t>
        </is>
      </c>
      <c r="D26" s="17" t="inlineStr">
        <is>
          <t>Charm</t>
        </is>
      </c>
      <c r="E26" s="16" t="inlineStr">
        <is>
          <t>Whips &amp; Muskets</t>
        </is>
      </c>
      <c r="F26" s="16" t="inlineStr">
        <is>
          <t>+1 Attack Mod</t>
        </is>
      </c>
      <c r="G26" s="16" t="inlineStr">
        <is>
          <t>-2 FC Loadout Tax</t>
        </is>
      </c>
      <c r="H26" s="16" t="inlineStr">
        <is>
          <t>+2 Attack Mod &amp; Morale Break</t>
        </is>
      </c>
      <c r="I26" s="16" t="inlineStr">
        <is>
          <t>Target loses 1 Action Budget slot</t>
        </is>
      </c>
      <c r="J26" s="16" t="inlineStr">
        <is>
          <t>Disarming Oration (2 FC)</t>
        </is>
      </c>
      <c r="K26" s="16" t="inlineStr">
        <is>
          <t>Commanding Presence (3 FC)</t>
        </is>
      </c>
    </row>
    <row r="27">
      <c r="B27" s="14" t="inlineStr">
        <is>
          <t>Attention Shift</t>
        </is>
      </c>
      <c r="C27" s="15" t="inlineStr">
        <is>
          <t>Defense</t>
        </is>
      </c>
      <c r="D27" s="15" t="inlineStr">
        <is>
          <t>Charm</t>
        </is>
      </c>
      <c r="E27" s="14" t="inlineStr">
        <is>
          <t>Ornate Attire</t>
        </is>
      </c>
      <c r="F27" s="14" t="inlineStr">
        <is>
          <t>+1 Defense Mod</t>
        </is>
      </c>
      <c r="G27" s="14" t="inlineStr">
        <is>
          <t>-2 FC Loadout Tax</t>
        </is>
      </c>
      <c r="H27" s="14" t="inlineStr">
        <is>
          <t>+2 Def Mod &amp; Aggro Divert</t>
        </is>
      </c>
      <c r="I27" s="14" t="inlineStr">
        <is>
          <t>Diverts attack to nearby prop/ally</t>
        </is>
      </c>
      <c r="J27" s="14" t="inlineStr">
        <is>
          <t>Social Redirection (2 FC)</t>
        </is>
      </c>
      <c r="K27" s="14" t="inlineStr">
        <is>
          <t>Showy Deflection (2 FC)</t>
        </is>
      </c>
    </row>
    <row r="28">
      <c r="B28" s="16" t="inlineStr">
        <is>
          <t>Overbearing Weight</t>
        </is>
      </c>
      <c r="C28" s="17" t="inlineStr">
        <is>
          <t>Offense</t>
        </is>
      </c>
      <c r="D28" s="17" t="inlineStr">
        <is>
          <t>Willpower</t>
        </is>
      </c>
      <c r="E28" s="16" t="inlineStr">
        <is>
          <t>Siege / Cleavers</t>
        </is>
      </c>
      <c r="F28" s="16" t="inlineStr">
        <is>
          <t>+1 Attack Mod</t>
        </is>
      </c>
      <c r="G28" s="16" t="inlineStr">
        <is>
          <t>-3 ST Loadout Tax</t>
        </is>
      </c>
      <c r="H28" s="16" t="inlineStr">
        <is>
          <t>+2 Attack Mod &amp; Will Crush</t>
        </is>
      </c>
      <c r="I28" s="16" t="inlineStr">
        <is>
          <t>Target loses 2 Focus points</t>
        </is>
      </c>
      <c r="J28" s="16" t="inlineStr">
        <is>
          <t>Will Surge (3 FC)</t>
        </is>
      </c>
      <c r="K28" s="16" t="inlineStr">
        <is>
          <t>Psychological Heavy (3 FC)</t>
        </is>
      </c>
    </row>
    <row r="29">
      <c r="B29" s="14" t="inlineStr">
        <is>
          <t>Mind Bastion</t>
        </is>
      </c>
      <c r="C29" s="15" t="inlineStr">
        <is>
          <t>Defense</t>
        </is>
      </c>
      <c r="D29" s="15" t="inlineStr">
        <is>
          <t>Willpower</t>
        </is>
      </c>
      <c r="E29" s="14" t="inlineStr">
        <is>
          <t>Reinforced Armor</t>
        </is>
      </c>
      <c r="F29" s="14" t="inlineStr">
        <is>
          <t>+1 Defense Mod</t>
        </is>
      </c>
      <c r="G29" s="14" t="inlineStr">
        <is>
          <t>-3 ST Loadout Tax</t>
        </is>
      </c>
      <c r="H29" s="14" t="inlineStr">
        <is>
          <t>+2 Def Mod &amp; Fear Immunity</t>
        </is>
      </c>
      <c r="I29" s="14" t="inlineStr">
        <is>
          <t>Immune to Psychological Breaks</t>
        </is>
      </c>
      <c r="J29" s="14" t="inlineStr">
        <is>
          <t>Mind Fortress (2 FC)</t>
        </is>
      </c>
      <c r="K29" s="14" t="inlineStr">
        <is>
          <t>Iron Resolve (3 FC)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2" customWidth="1" min="4" max="4"/>
    <col width="22" customWidth="1" min="5" max="5"/>
    <col width="14" customWidth="1" min="6" max="6"/>
    <col width="13" customWidth="1" min="7" max="7"/>
    <col width="16" customWidth="1" min="8" max="8"/>
    <col width="41" customWidth="1" min="9" max="9"/>
    <col width="39" customWidth="1" min="10" max="10"/>
    <col width="34" customWidth="1" min="11" max="11"/>
    <col width="30" customWidth="1" min="12" max="12"/>
  </cols>
  <sheetData>
    <row r="1"/>
    <row r="2">
      <c r="B2" s="1" t="inlineStr">
        <is>
          <t>24 Primordial Power &amp; Null Discipline Tracks</t>
        </is>
      </c>
    </row>
    <row r="3">
      <c r="B3" s="2" t="inlineStr">
        <is>
          <t>12 Sparkborn Magic Schools (Focus) &amp; 12 Null Physics-Inversion Disciplines (Stamina/Focus).</t>
        </is>
      </c>
    </row>
    <row r="4"/>
    <row r="5">
      <c r="B5" s="8" t="inlineStr">
        <is>
          <t>Track Name</t>
        </is>
      </c>
      <c r="C5" s="8" t="inlineStr">
        <is>
          <t>Path Type</t>
        </is>
      </c>
      <c r="D5" s="8" t="inlineStr">
        <is>
          <t>Attribute</t>
        </is>
      </c>
      <c r="E5" s="8" t="inlineStr">
        <is>
          <t>School / Discipline</t>
        </is>
      </c>
      <c r="F5" s="8" t="inlineStr">
        <is>
          <t>Damage Type</t>
        </is>
      </c>
      <c r="G5" s="8" t="inlineStr">
        <is>
          <t>Base Cost</t>
        </is>
      </c>
      <c r="H5" s="8" t="inlineStr">
        <is>
          <t>Range / AoE</t>
        </is>
      </c>
      <c r="I5" s="8" t="inlineStr">
        <is>
          <t>Rank 1 Base Effect</t>
        </is>
      </c>
      <c r="J5" s="8" t="inlineStr">
        <is>
          <t>Rank 2 Expanded Scope</t>
        </is>
      </c>
      <c r="K5" s="8" t="inlineStr">
        <is>
          <t>Rank 3 Overclock / Intensified</t>
        </is>
      </c>
      <c r="L5" s="8" t="inlineStr">
        <is>
          <t>Rank 4 Apex Mastery</t>
        </is>
      </c>
    </row>
    <row r="6">
      <c r="B6" s="16" t="inlineStr">
        <is>
          <t>Mass Acceleration</t>
        </is>
      </c>
      <c r="C6" s="17" t="inlineStr">
        <is>
          <t>Sparkborn Magic</t>
        </is>
      </c>
      <c r="D6" s="17" t="inlineStr">
        <is>
          <t>Might</t>
        </is>
      </c>
      <c r="E6" s="16" t="inlineStr">
        <is>
          <t>Mass (Force)</t>
        </is>
      </c>
      <c r="F6" s="16" t="inlineStr">
        <is>
          <t>Force</t>
        </is>
      </c>
      <c r="G6" s="17" t="inlineStr">
        <is>
          <t>4 FC</t>
        </is>
      </c>
      <c r="H6" s="16" t="inlineStr">
        <is>
          <t>60ft Single</t>
        </is>
      </c>
      <c r="I6" s="16" t="inlineStr">
        <is>
          <t>Kinetic Hammer (Crushes cover)</t>
        </is>
      </c>
      <c r="J6" s="16" t="inlineStr">
        <is>
          <t>Mass Shift (Pushes 3 targets)</t>
        </is>
      </c>
      <c r="K6" s="16" t="inlineStr">
        <is>
          <t>Gravitational Well (30ft AoE)</t>
        </is>
      </c>
      <c r="L6" s="16" t="inlineStr">
        <is>
          <t>Black Hole Singularity</t>
        </is>
      </c>
    </row>
    <row r="7">
      <c r="B7" s="14" t="inlineStr">
        <is>
          <t>Null-Mass Anchor</t>
        </is>
      </c>
      <c r="C7" s="15" t="inlineStr">
        <is>
          <t>Null Discipline</t>
        </is>
      </c>
      <c r="D7" s="15" t="inlineStr">
        <is>
          <t>Might</t>
        </is>
      </c>
      <c r="E7" s="14" t="inlineStr">
        <is>
          <t>Kinetic Leverage</t>
        </is>
      </c>
      <c r="F7" s="14" t="inlineStr">
        <is>
          <t>Physical</t>
        </is>
      </c>
      <c r="G7" s="15" t="inlineStr">
        <is>
          <t>3 ST</t>
        </is>
      </c>
      <c r="H7" s="14" t="inlineStr">
        <is>
          <t>Self / Touch</t>
        </is>
      </c>
      <c r="I7" s="14" t="inlineStr">
        <is>
          <t>Exempts body from kinetic drag</t>
        </is>
      </c>
      <c r="J7" s="14" t="inlineStr">
        <is>
          <t>Supernatural lifting threshold</t>
        </is>
      </c>
      <c r="K7" s="14" t="inlineStr">
        <is>
          <t>Prop Shatter Impact</t>
        </is>
      </c>
      <c r="L7" s="14" t="inlineStr">
        <is>
          <t>Zero-G Kinetic Launch</t>
        </is>
      </c>
    </row>
    <row r="8">
      <c r="B8" s="16" t="inlineStr">
        <is>
          <t>Thermodynamic Stasis</t>
        </is>
      </c>
      <c r="C8" s="17" t="inlineStr">
        <is>
          <t>Sparkborn Magic</t>
        </is>
      </c>
      <c r="D8" s="17" t="inlineStr">
        <is>
          <t>Endurance</t>
        </is>
      </c>
      <c r="E8" s="16" t="inlineStr">
        <is>
          <t>Ordo (Structure)</t>
        </is>
      </c>
      <c r="F8" s="16" t="inlineStr">
        <is>
          <t>Cold</t>
        </is>
      </c>
      <c r="G8" s="17" t="inlineStr">
        <is>
          <t>4 FC</t>
        </is>
      </c>
      <c r="H8" s="16" t="inlineStr">
        <is>
          <t>30ft Cone</t>
        </is>
      </c>
      <c r="I8" s="16" t="inlineStr">
        <is>
          <t>Flash Freezes water/liquids</t>
        </is>
      </c>
      <c r="J8" s="16" t="inlineStr">
        <is>
          <t>Cold Stasis (Slows move 50%)</t>
        </is>
      </c>
      <c r="K8" s="16" t="inlineStr">
        <is>
          <t>Brittle Shatter (Strips Armor)</t>
        </is>
      </c>
      <c r="L8" s="16" t="inlineStr">
        <is>
          <t>Absolute Zero Field</t>
        </is>
      </c>
    </row>
    <row r="9">
      <c r="B9" s="14" t="inlineStr">
        <is>
          <t>Ordo Cold Shield</t>
        </is>
      </c>
      <c r="C9" s="15" t="inlineStr">
        <is>
          <t>Null Discipline</t>
        </is>
      </c>
      <c r="D9" s="15" t="inlineStr">
        <is>
          <t>Endurance</t>
        </is>
      </c>
      <c r="E9" s="14" t="inlineStr">
        <is>
          <t>Thermal Insulation</t>
        </is>
      </c>
      <c r="F9" s="14" t="inlineStr">
        <is>
          <t>Physical</t>
        </is>
      </c>
      <c r="G9" s="15" t="inlineStr">
        <is>
          <t>2 ST, 1 FC</t>
        </is>
      </c>
      <c r="H9" s="14" t="inlineStr">
        <is>
          <t>Self</t>
        </is>
      </c>
      <c r="I9" s="14" t="inlineStr">
        <is>
          <t>Exempts body from thermal shock</t>
        </is>
      </c>
      <c r="J9" s="14" t="inlineStr">
        <is>
          <t>Cold Immunity &amp; Pain Lock</t>
        </is>
      </c>
      <c r="K9" s="14" t="inlineStr">
        <is>
          <t>Environmental Cryo Buffer</t>
        </is>
      </c>
      <c r="L9" s="14" t="inlineStr">
        <is>
          <t>Null Thermal Blackout</t>
        </is>
      </c>
    </row>
    <row r="10">
      <c r="B10" s="16" t="inlineStr">
        <is>
          <t>Corrosive Catalyst</t>
        </is>
      </c>
      <c r="C10" s="17" t="inlineStr">
        <is>
          <t>Sparkborn Magic</t>
        </is>
      </c>
      <c r="D10" s="17" t="inlineStr">
        <is>
          <t>Finesse</t>
        </is>
      </c>
      <c r="E10" s="16" t="inlineStr">
        <is>
          <t>Flux (Mutation)</t>
        </is>
      </c>
      <c r="F10" s="16" t="inlineStr">
        <is>
          <t>Acid</t>
        </is>
      </c>
      <c r="G10" s="17" t="inlineStr">
        <is>
          <t>4 FC</t>
        </is>
      </c>
      <c r="H10" s="16" t="inlineStr">
        <is>
          <t>45ft Line</t>
        </is>
      </c>
      <c r="I10" s="16" t="inlineStr">
        <is>
          <t>Acid Spray (Corrodes armor durability)</t>
        </is>
      </c>
      <c r="J10" s="16" t="inlineStr">
        <is>
          <t>Reactive Flux (Melt metal props)</t>
        </is>
      </c>
      <c r="K10" s="16" t="inlineStr">
        <is>
          <t>Dissolving Pool (AoE Hazards)</t>
        </is>
      </c>
      <c r="L10" s="16" t="inlineStr">
        <is>
          <t>Acidic Cloud Matrix</t>
        </is>
      </c>
    </row>
    <row r="11">
      <c r="B11" s="14" t="inlineStr">
        <is>
          <t>Flux-Drain Scrubber</t>
        </is>
      </c>
      <c r="C11" s="15" t="inlineStr">
        <is>
          <t>Null Discipline</t>
        </is>
      </c>
      <c r="D11" s="15" t="inlineStr">
        <is>
          <t>Finesse</t>
        </is>
      </c>
      <c r="E11" s="14" t="inlineStr">
        <is>
          <t>Vascular Precision</t>
        </is>
      </c>
      <c r="F11" s="14" t="inlineStr">
        <is>
          <t>Physical</t>
        </is>
      </c>
      <c r="G11" s="15" t="inlineStr">
        <is>
          <t>2 ST, 1 FC</t>
        </is>
      </c>
      <c r="H11" s="14" t="inlineStr">
        <is>
          <t>Touch / Melee</t>
        </is>
      </c>
      <c r="I11" s="14" t="inlineStr">
        <is>
          <t>Bypasses fluid resistance</t>
        </is>
      </c>
      <c r="J11" s="14" t="inlineStr">
        <is>
          <t>Flushes blood toxins / poisons</t>
        </is>
      </c>
      <c r="K11" s="14" t="inlineStr">
        <is>
          <t>Strips enemy chemical buffs</t>
        </is>
      </c>
      <c r="L11" s="14" t="inlineStr">
        <is>
          <t>Microscopic Joint Lock</t>
        </is>
      </c>
    </row>
    <row r="12">
      <c r="B12" s="16" t="inlineStr">
        <is>
          <t>Vibrational Shard</t>
        </is>
      </c>
      <c r="C12" s="17" t="inlineStr">
        <is>
          <t>Sparkborn Magic</t>
        </is>
      </c>
      <c r="D12" s="17" t="inlineStr">
        <is>
          <t>Reflex</t>
        </is>
      </c>
      <c r="E12" s="16" t="inlineStr">
        <is>
          <t>Motus (Velocity)</t>
        </is>
      </c>
      <c r="F12" s="16" t="inlineStr">
        <is>
          <t>Sonic</t>
        </is>
      </c>
      <c r="G12" s="17" t="inlineStr">
        <is>
          <t>3 FC</t>
        </is>
      </c>
      <c r="H12" s="16" t="inlineStr">
        <is>
          <t>60ft Single</t>
        </is>
      </c>
      <c r="I12" s="16" t="inlineStr">
        <is>
          <t>Sonic Blast (Shatters glass/ceramic)</t>
        </is>
      </c>
      <c r="J12" s="16" t="inlineStr">
        <is>
          <t>High-Frequency Resonance (Stuns)</t>
        </is>
      </c>
      <c r="K12" s="16" t="inlineStr">
        <is>
          <t>Sonic Boom (15ft Knockback)</t>
        </is>
      </c>
      <c r="L12" s="16" t="inlineStr">
        <is>
          <t>Resonance Cascade</t>
        </is>
      </c>
    </row>
    <row r="13">
      <c r="B13" s="14" t="inlineStr">
        <is>
          <t>Acoustic Dead-Stop</t>
        </is>
      </c>
      <c r="C13" s="15" t="inlineStr">
        <is>
          <t>Null Discipline</t>
        </is>
      </c>
      <c r="D13" s="15" t="inlineStr">
        <is>
          <t>Reflex</t>
        </is>
      </c>
      <c r="E13" s="14" t="inlineStr">
        <is>
          <t>Predatory Twitch</t>
        </is>
      </c>
      <c r="F13" s="14" t="inlineStr">
        <is>
          <t>Physical</t>
        </is>
      </c>
      <c r="G13" s="15" t="inlineStr">
        <is>
          <t>2 ST</t>
        </is>
      </c>
      <c r="H13" s="14" t="inlineStr">
        <is>
          <t>Self</t>
        </is>
      </c>
      <c r="I13" s="14" t="inlineStr">
        <is>
          <t>Exempts body from inertia latency</t>
        </is>
      </c>
      <c r="J13" s="14" t="inlineStr">
        <is>
          <t>Instant reaction before thought</t>
        </is>
      </c>
      <c r="K13" s="14" t="inlineStr">
        <is>
          <t>Acoustic Silence Aura</t>
        </is>
      </c>
      <c r="L13" s="14" t="inlineStr">
        <is>
          <t>Flash-Step Counter</t>
        </is>
      </c>
    </row>
    <row r="14">
      <c r="B14" s="16" t="inlineStr">
        <is>
          <t>Decay Pulse</t>
        </is>
      </c>
      <c r="C14" s="17" t="inlineStr">
        <is>
          <t>Sparkborn Magic</t>
        </is>
      </c>
      <c r="D14" s="17" t="inlineStr">
        <is>
          <t>Vitality</t>
        </is>
      </c>
      <c r="E14" s="16" t="inlineStr">
        <is>
          <t>Vita (Biomancy)</t>
        </is>
      </c>
      <c r="F14" s="16" t="inlineStr">
        <is>
          <t>Necro</t>
        </is>
      </c>
      <c r="G14" s="17" t="inlineStr">
        <is>
          <t>5 FC</t>
        </is>
      </c>
      <c r="H14" s="16" t="inlineStr">
        <is>
          <t>Touch / 30ft</t>
        </is>
      </c>
      <c r="I14" s="16" t="inlineStr">
        <is>
          <t>Life Drain (Restores HP on hit)</t>
        </is>
      </c>
      <c r="J14" s="16" t="inlineStr">
        <is>
          <t>Cellular Entropy (Stamina drain)</t>
        </is>
      </c>
      <c r="K14" s="16" t="inlineStr">
        <is>
          <t>Necrotic Blight (AoE Decay)</t>
        </is>
      </c>
      <c r="L14" s="16" t="inlineStr">
        <is>
          <t>Somatic Organ Failure</t>
        </is>
      </c>
    </row>
    <row r="15">
      <c r="B15" s="14" t="inlineStr">
        <is>
          <t>Cellular Hardening</t>
        </is>
      </c>
      <c r="C15" s="15" t="inlineStr">
        <is>
          <t>Null Discipline</t>
        </is>
      </c>
      <c r="D15" s="15" t="inlineStr">
        <is>
          <t>Vitality</t>
        </is>
      </c>
      <c r="E15" s="14" t="inlineStr">
        <is>
          <t>Somatic Resistance</t>
        </is>
      </c>
      <c r="F15" s="14" t="inlineStr">
        <is>
          <t>Physical</t>
        </is>
      </c>
      <c r="G15" s="15" t="inlineStr">
        <is>
          <t>3 ST</t>
        </is>
      </c>
      <c r="H15" s="14" t="inlineStr">
        <is>
          <t>Self</t>
        </is>
      </c>
      <c r="I15" s="14" t="inlineStr">
        <is>
          <t>Instantly hardens scar matrix</t>
        </is>
      </c>
      <c r="J15" s="14" t="inlineStr">
        <is>
          <t>Immune to bleed &amp; poison</t>
        </is>
      </c>
      <c r="K15" s="14" t="inlineStr">
        <is>
          <t>Bone Density Hardening</t>
        </is>
      </c>
      <c r="L15" s="14" t="inlineStr">
        <is>
          <t>Biological Shock Lockdown</t>
        </is>
      </c>
    </row>
    <row r="16">
      <c r="B16" s="16" t="inlineStr">
        <is>
          <t>Thermal Arc</t>
        </is>
      </c>
      <c r="C16" s="17" t="inlineStr">
        <is>
          <t>Sparkborn Magic</t>
        </is>
      </c>
      <c r="D16" s="17" t="inlineStr">
        <is>
          <t>Fortitude</t>
        </is>
      </c>
      <c r="E16" s="16" t="inlineStr">
        <is>
          <t>Nexus (Forge-Heat)</t>
        </is>
      </c>
      <c r="F16" s="16" t="inlineStr">
        <is>
          <t>Fire</t>
        </is>
      </c>
      <c r="G16" s="17" t="inlineStr">
        <is>
          <t>4 FC</t>
        </is>
      </c>
      <c r="H16" s="16" t="inlineStr">
        <is>
          <t>30ft Cone</t>
        </is>
      </c>
      <c r="I16" s="16" t="inlineStr">
        <is>
          <t>Searing Flame Arc (Ignites flammable)</t>
        </is>
      </c>
      <c r="J16" s="16" t="inlineStr">
        <is>
          <t>Forge Spark (Melts projectiles)</t>
        </is>
      </c>
      <c r="K16" s="16" t="inlineStr">
        <is>
          <t>Inferno Burst (20ft Flame AoE)</t>
        </is>
      </c>
      <c r="L16" s="16" t="inlineStr">
        <is>
          <t>Solar Prominence</t>
        </is>
      </c>
    </row>
    <row r="17">
      <c r="B17" s="14" t="inlineStr">
        <is>
          <t>Absolute Heat-Sink</t>
        </is>
      </c>
      <c r="C17" s="15" t="inlineStr">
        <is>
          <t>Null Discipline</t>
        </is>
      </c>
      <c r="D17" s="15" t="inlineStr">
        <is>
          <t>Fortitude</t>
        </is>
      </c>
      <c r="E17" s="14" t="inlineStr">
        <is>
          <t>Thermal Dissipation</t>
        </is>
      </c>
      <c r="F17" s="14" t="inlineStr">
        <is>
          <t>Physical</t>
        </is>
      </c>
      <c r="G17" s="15" t="inlineStr">
        <is>
          <t>2 ST, 1 FC</t>
        </is>
      </c>
      <c r="H17" s="14" t="inlineStr">
        <is>
          <t>Self / Touch</t>
        </is>
      </c>
      <c r="I17" s="14" t="inlineStr">
        <is>
          <t>Absorbs thermal energy harmlessly</t>
        </is>
      </c>
      <c r="J17" s="14" t="inlineStr">
        <is>
          <t>Thermal Dissipation Aura</t>
        </is>
      </c>
      <c r="K17" s="14" t="inlineStr">
        <is>
          <t>Heat-Sink Absorption</t>
        </is>
      </c>
      <c r="L17" s="14" t="inlineStr">
        <is>
          <t>Absolute Fire Immunity</t>
        </is>
      </c>
    </row>
    <row r="18">
      <c r="B18" s="16" t="inlineStr">
        <is>
          <t>Vector Dart</t>
        </is>
      </c>
      <c r="C18" s="17" t="inlineStr">
        <is>
          <t>Sparkborn Magic</t>
        </is>
      </c>
      <c r="D18" s="17" t="inlineStr">
        <is>
          <t>Knowledge</t>
        </is>
      </c>
      <c r="E18" s="16" t="inlineStr">
        <is>
          <t>Anumis (Science)</t>
        </is>
      </c>
      <c r="F18" s="16" t="inlineStr">
        <is>
          <t>Arcane</t>
        </is>
      </c>
      <c r="G18" s="17" t="inlineStr">
        <is>
          <t>3 FC</t>
        </is>
      </c>
      <c r="H18" s="16" t="inlineStr">
        <is>
          <t>90ft Single</t>
        </is>
      </c>
      <c r="I18" s="16" t="inlineStr">
        <is>
          <t>Hard-Light Needle (Bypasses armor)</t>
        </is>
      </c>
      <c r="J18" s="16" t="inlineStr">
        <is>
          <t>Refractive Beam (Chain 3 targets)</t>
        </is>
      </c>
      <c r="K18" s="16" t="inlineStr">
        <is>
          <t>Arcane Lance (Pierces cover)</t>
        </is>
      </c>
      <c r="L18" s="16" t="inlineStr">
        <is>
          <t>Prismatic Singularity</t>
        </is>
      </c>
    </row>
    <row r="19">
      <c r="B19" s="14" t="inlineStr">
        <is>
          <t>Fulcrum Leverage</t>
        </is>
      </c>
      <c r="C19" s="15" t="inlineStr">
        <is>
          <t>Null Discipline</t>
        </is>
      </c>
      <c r="D19" s="15" t="inlineStr">
        <is>
          <t>Knowledge</t>
        </is>
      </c>
      <c r="E19" s="14" t="inlineStr">
        <is>
          <t>Tactical Physics</t>
        </is>
      </c>
      <c r="F19" s="14" t="inlineStr">
        <is>
          <t>Physical</t>
        </is>
      </c>
      <c r="G19" s="15" t="inlineStr">
        <is>
          <t>2 FC</t>
        </is>
      </c>
      <c r="H19" s="14" t="inlineStr">
        <is>
          <t>Touch / Melee</t>
        </is>
      </c>
      <c r="I19" s="14" t="inlineStr">
        <is>
          <t>Identifies structural weakpoints</t>
        </is>
      </c>
      <c r="J19" s="14" t="inlineStr">
        <is>
          <t>Leverage bypasses heavy defense</t>
        </is>
      </c>
      <c r="K19" s="14" t="inlineStr">
        <is>
          <t>Mechanical Overload</t>
        </is>
      </c>
      <c r="L19" s="14" t="inlineStr">
        <is>
          <t>Fulcrum Structural Collapse</t>
        </is>
      </c>
    </row>
    <row r="20">
      <c r="B20" s="16" t="inlineStr">
        <is>
          <t>Galvanic Arc</t>
        </is>
      </c>
      <c r="C20" s="17" t="inlineStr">
        <is>
          <t>Sparkborn Magic</t>
        </is>
      </c>
      <c r="D20" s="17" t="inlineStr">
        <is>
          <t>Logic</t>
        </is>
      </c>
      <c r="E20" s="16" t="inlineStr">
        <is>
          <t>Ratio (Pattern)</t>
        </is>
      </c>
      <c r="F20" s="16" t="inlineStr">
        <is>
          <t>Shock</t>
        </is>
      </c>
      <c r="G20" s="17" t="inlineStr">
        <is>
          <t>4 FC</t>
        </is>
      </c>
      <c r="H20" s="16" t="inlineStr">
        <is>
          <t>60ft Chain</t>
        </is>
      </c>
      <c r="I20" s="16" t="inlineStr">
        <is>
          <t>Lightning Arc (Arcs on wet/metal)</t>
        </is>
      </c>
      <c r="J20" s="16" t="inlineStr">
        <is>
          <t>Galvanic Chain (Hits 4 targets)</t>
        </is>
      </c>
      <c r="K20" s="16" t="inlineStr">
        <is>
          <t>Electromagnetic Pulse</t>
        </is>
      </c>
      <c r="L20" s="16" t="inlineStr">
        <is>
          <t>Thunderbolt Matrix</t>
        </is>
      </c>
    </row>
    <row r="21">
      <c r="B21" s="14" t="inlineStr">
        <is>
          <t>Ground-Cable Whip</t>
        </is>
      </c>
      <c r="C21" s="15" t="inlineStr">
        <is>
          <t>Null Discipline</t>
        </is>
      </c>
      <c r="D21" s="15" t="inlineStr">
        <is>
          <t>Logic</t>
        </is>
      </c>
      <c r="E21" s="14" t="inlineStr">
        <is>
          <t>Galvanic Grounding</t>
        </is>
      </c>
      <c r="F21" s="14" t="inlineStr">
        <is>
          <t>Physical</t>
        </is>
      </c>
      <c r="G21" s="15" t="inlineStr">
        <is>
          <t>2 ST, 1 FC</t>
        </is>
      </c>
      <c r="H21" s="14" t="inlineStr">
        <is>
          <t>Self / 15ft</t>
        </is>
      </c>
      <c r="I21" s="14" t="inlineStr">
        <is>
          <t>Grounds electric shock into earth</t>
        </is>
      </c>
      <c r="J21" s="14" t="inlineStr">
        <is>
          <t>Shields allies from shock AoE</t>
        </is>
      </c>
      <c r="K21" s="14" t="inlineStr">
        <is>
          <t>Disrupts electronic props</t>
        </is>
      </c>
      <c r="L21" s="14" t="inlineStr">
        <is>
          <t>Aetheric Grounding Field</t>
        </is>
      </c>
    </row>
    <row r="22">
      <c r="B22" s="16" t="inlineStr">
        <is>
          <t>Radiant Burst</t>
        </is>
      </c>
      <c r="C22" s="17" t="inlineStr">
        <is>
          <t>Sparkborn Magic</t>
        </is>
      </c>
      <c r="D22" s="17" t="inlineStr">
        <is>
          <t>Awareness</t>
        </is>
      </c>
      <c r="E22" s="16" t="inlineStr">
        <is>
          <t>Lux (Light)</t>
        </is>
      </c>
      <c r="F22" s="16" t="inlineStr">
        <is>
          <t>Radiant</t>
        </is>
      </c>
      <c r="G22" s="17" t="inlineStr">
        <is>
          <t>3 FC</t>
        </is>
      </c>
      <c r="H22" s="16" t="inlineStr">
        <is>
          <t>30ft Burst</t>
        </is>
      </c>
      <c r="I22" s="16" t="inlineStr">
        <is>
          <t>Flash Dazzle (Blinds targets 1 turn)</t>
        </is>
      </c>
      <c r="J22" s="16" t="inlineStr">
        <is>
          <t>True Sight (Reveals invis/illusions)</t>
        </is>
      </c>
      <c r="K22" s="16" t="inlineStr">
        <is>
          <t>Radiant Pillar (AoE Light)</t>
        </is>
      </c>
      <c r="L22" s="16" t="inlineStr">
        <is>
          <t>Solar Flare Detonation</t>
        </is>
      </c>
    </row>
    <row r="23">
      <c r="B23" s="14" t="inlineStr">
        <is>
          <t>Ocular Shading</t>
        </is>
      </c>
      <c r="C23" s="15" t="inlineStr">
        <is>
          <t>Null Discipline</t>
        </is>
      </c>
      <c r="D23" s="15" t="inlineStr">
        <is>
          <t>Awareness</t>
        </is>
      </c>
      <c r="E23" s="14" t="inlineStr">
        <is>
          <t>Sensory Filter</t>
        </is>
      </c>
      <c r="F23" s="14" t="inlineStr">
        <is>
          <t>Physical</t>
        </is>
      </c>
      <c r="G23" s="15" t="inlineStr">
        <is>
          <t>1 ST, 1 FC</t>
        </is>
      </c>
      <c r="H23" s="14" t="inlineStr">
        <is>
          <t>Self</t>
        </is>
      </c>
      <c r="I23" s="14" t="inlineStr">
        <is>
          <t>Exempts eyes/ears from blinding flash</t>
        </is>
      </c>
      <c r="J23" s="14" t="inlineStr">
        <is>
          <t>Immune to sensory dazzle</t>
        </is>
      </c>
      <c r="K23" s="14" t="inlineStr">
        <is>
          <t>Hyper-Vigilance Aura</t>
        </is>
      </c>
      <c r="L23" s="14" t="inlineStr">
        <is>
          <t>Total Illusion Invalidation</t>
        </is>
      </c>
    </row>
    <row r="24">
      <c r="B24" s="16" t="inlineStr">
        <is>
          <t>Temporal Singularity</t>
        </is>
      </c>
      <c r="C24" s="17" t="inlineStr">
        <is>
          <t>Sparkborn Magic</t>
        </is>
      </c>
      <c r="D24" s="17" t="inlineStr">
        <is>
          <t>Intuition</t>
        </is>
      </c>
      <c r="E24" s="16" t="inlineStr">
        <is>
          <t>Omen (Fate)</t>
        </is>
      </c>
      <c r="F24" s="16" t="inlineStr">
        <is>
          <t>Temporal</t>
        </is>
      </c>
      <c r="G24" s="17" t="inlineStr">
        <is>
          <t>5 FC</t>
        </is>
      </c>
      <c r="H24" s="16" t="inlineStr">
        <is>
          <t>45ft AoE</t>
        </is>
      </c>
      <c r="I24" s="16" t="inlineStr">
        <is>
          <t>Time Distortion (Slows target AP)</t>
        </is>
      </c>
      <c r="J24" s="16" t="inlineStr">
        <is>
          <t>Probability Shift (Forces rerolls)</t>
        </is>
      </c>
      <c r="K24" s="16" t="inlineStr">
        <is>
          <t>Timeline Bleed (AoE Haste/Slow)</t>
        </is>
      </c>
      <c r="L24" s="16" t="inlineStr">
        <is>
          <t>Chronos Freeze</t>
        </is>
      </c>
    </row>
    <row r="25">
      <c r="B25" s="14" t="inlineStr">
        <is>
          <t>Inertial Drag-Weight</t>
        </is>
      </c>
      <c r="C25" s="15" t="inlineStr">
        <is>
          <t>Null Discipline</t>
        </is>
      </c>
      <c r="D25" s="15" t="inlineStr">
        <is>
          <t>Intuition</t>
        </is>
      </c>
      <c r="E25" s="14" t="inlineStr">
        <is>
          <t>Instinctive Shift</t>
        </is>
      </c>
      <c r="F25" s="14" t="inlineStr">
        <is>
          <t>Physical</t>
        </is>
      </c>
      <c r="G25" s="15" t="inlineStr">
        <is>
          <t>2 ST</t>
        </is>
      </c>
      <c r="H25" s="14" t="inlineStr">
        <is>
          <t>Self</t>
        </is>
      </c>
      <c r="I25" s="14" t="inlineStr">
        <is>
          <t>Shifts momentum to dodge hazards</t>
        </is>
      </c>
      <c r="J25" s="14" t="inlineStr">
        <is>
          <t>Instinctive hazard avoidance</t>
        </is>
      </c>
      <c r="K25" s="14" t="inlineStr">
        <is>
          <t>Inertial Cancellation</t>
        </is>
      </c>
      <c r="L25" s="14" t="inlineStr">
        <is>
          <t>Temporal Momentum Lock</t>
        </is>
      </c>
    </row>
    <row r="26">
      <c r="B26" s="16" t="inlineStr">
        <is>
          <t>Animus Shriek</t>
        </is>
      </c>
      <c r="C26" s="17" t="inlineStr">
        <is>
          <t>Sparkborn Magic</t>
        </is>
      </c>
      <c r="D26" s="17" t="inlineStr">
        <is>
          <t>Charm</t>
        </is>
      </c>
      <c r="E26" s="16" t="inlineStr">
        <is>
          <t>Aura (Presence)</t>
        </is>
      </c>
      <c r="F26" s="16" t="inlineStr">
        <is>
          <t>Spirit</t>
        </is>
      </c>
      <c r="G26" s="17" t="inlineStr">
        <is>
          <t>4 FC</t>
        </is>
      </c>
      <c r="H26" s="16" t="inlineStr">
        <is>
          <t>30ft Scream</t>
        </is>
      </c>
      <c r="I26" s="16" t="inlineStr">
        <is>
          <t>Spiritual Howl (Deals CP damage)</t>
        </is>
      </c>
      <c r="J26" s="16" t="inlineStr">
        <is>
          <t>Aura Distort (Frightens targets)</t>
        </is>
      </c>
      <c r="K26" s="16" t="inlineStr">
        <is>
          <t>Spirit Ward (Shields mind HP)</t>
        </is>
      </c>
      <c r="L26" s="16" t="inlineStr">
        <is>
          <t>Sovereign Decree</t>
        </is>
      </c>
    </row>
    <row r="27">
      <c r="B27" s="14" t="inlineStr">
        <is>
          <t>Aura Dampening</t>
        </is>
      </c>
      <c r="C27" s="15" t="inlineStr">
        <is>
          <t>Null Discipline</t>
        </is>
      </c>
      <c r="D27" s="15" t="inlineStr">
        <is>
          <t>Charm</t>
        </is>
      </c>
      <c r="E27" s="14" t="inlineStr">
        <is>
          <t>Presence Denial</t>
        </is>
      </c>
      <c r="F27" s="14" t="inlineStr">
        <is>
          <t>Physical</t>
        </is>
      </c>
      <c r="G27" s="15" t="inlineStr">
        <is>
          <t>2 FC</t>
        </is>
      </c>
      <c r="H27" s="14" t="inlineStr">
        <is>
          <t>15ft Aura</t>
        </is>
      </c>
      <c r="I27" s="14" t="inlineStr">
        <is>
          <t>Dampens social shaming/pressure</t>
        </is>
      </c>
      <c r="J27" s="14" t="inlineStr">
        <is>
          <t>Crowds out enemy leadership</t>
        </is>
      </c>
      <c r="K27" s="14" t="inlineStr">
        <is>
          <t>Aura Blackout Field</t>
        </is>
      </c>
      <c r="L27" s="14" t="inlineStr">
        <is>
          <t>Absolute Presence Lockdown</t>
        </is>
      </c>
    </row>
    <row r="28">
      <c r="B28" s="16" t="inlineStr">
        <is>
          <t>Neural Spike</t>
        </is>
      </c>
      <c r="C28" s="17" t="inlineStr">
        <is>
          <t>Sparkborn Magic</t>
        </is>
      </c>
      <c r="D28" s="17" t="inlineStr">
        <is>
          <t>Willpower</t>
        </is>
      </c>
      <c r="E28" s="16" t="inlineStr">
        <is>
          <t>Lex (Decree)</t>
        </is>
      </c>
      <c r="F28" s="16" t="inlineStr">
        <is>
          <t>Psychic</t>
        </is>
      </c>
      <c r="G28" s="17" t="inlineStr">
        <is>
          <t>5 FC</t>
        </is>
      </c>
      <c r="H28" s="16" t="inlineStr">
        <is>
          <t>60ft Single</t>
        </is>
      </c>
      <c r="I28" s="16" t="inlineStr">
        <is>
          <t>Mind Spike (Drains target Focus)</t>
        </is>
      </c>
      <c r="J28" s="16" t="inlineStr">
        <is>
          <t>Psychic Crush (Causes Panicked)</t>
        </is>
      </c>
      <c r="K28" s="16" t="inlineStr">
        <is>
          <t>Neural Overload (Stuns target)</t>
        </is>
      </c>
      <c r="L28" s="16" t="inlineStr">
        <is>
          <t>Mind Shatter Decree</t>
        </is>
      </c>
    </row>
    <row r="29">
      <c r="B29" s="14" t="inlineStr">
        <is>
          <t>Weapon-Arm Pin</t>
        </is>
      </c>
      <c r="C29" s="15" t="inlineStr">
        <is>
          <t>Null Discipline</t>
        </is>
      </c>
      <c r="D29" s="15" t="inlineStr">
        <is>
          <t>Willpower</t>
        </is>
      </c>
      <c r="E29" s="14" t="inlineStr">
        <is>
          <t>Iron Resolve</t>
        </is>
      </c>
      <c r="F29" s="14" t="inlineStr">
        <is>
          <t>Physical</t>
        </is>
      </c>
      <c r="G29" s="15" t="inlineStr">
        <is>
          <t>3 ST</t>
        </is>
      </c>
      <c r="H29" s="14" t="inlineStr">
        <is>
          <t>Touch / Melee</t>
        </is>
      </c>
      <c r="I29" s="14" t="inlineStr">
        <is>
          <t>Locks opponent arm in place</t>
        </is>
      </c>
      <c r="J29" s="14" t="inlineStr">
        <is>
          <t>Immune to mental fear/break</t>
        </is>
      </c>
      <c r="K29" s="14" t="inlineStr">
        <is>
          <t>Physical Counter-Pin</t>
        </is>
      </c>
      <c r="L29" s="14" t="inlineStr">
        <is>
          <t>Absolute Will 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2026-10-06T13:52:28Z</dcterms:created>
  <dcterms:modified xmlns:dcterms="http://purl.org/dc/terms/" xmlns:xsi="http://www.w3.org/2001/XMLSchema-instance" xsi:type="dcterms:W3CDTF">2026-10-06T13:52:28Z</dcterms:modified>
</cp:coreProperties>
</file>